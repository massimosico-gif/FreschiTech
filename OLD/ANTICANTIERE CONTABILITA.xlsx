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Users\LocAdmin\Desktop\PROJECT_NAS\FRESCHITECH\CANTIERI\"/>
    </mc:Choice>
  </mc:AlternateContent>
  <xr:revisionPtr revIDLastSave="0" documentId="8_{525F50B7-A140-4E75-9533-2A5B2AEC646C}" xr6:coauthVersionLast="47" xr6:coauthVersionMax="47" xr10:uidLastSave="{00000000-0000-0000-0000-000000000000}"/>
  <bookViews>
    <workbookView xWindow="2160" yWindow="2160" windowWidth="21600" windowHeight="11295" tabRatio="718" activeTab="5" xr2:uid="{90D05CE8-E289-4EF6-8EAE-ED968C05E188}"/>
  </bookViews>
  <sheets>
    <sheet name="Riepilogo" sheetId="27" r:id="rId1"/>
    <sheet name="Lely" sheetId="44" r:id="rId2"/>
    <sheet name="Coclee" sheetId="70" r:id="rId3"/>
    <sheet name="Combiboard" sheetId="68" r:id="rId4"/>
    <sheet name="Liquami" sheetId="69" r:id="rId5"/>
    <sheet name="Extra" sheetId="67" r:id="rId6"/>
  </sheets>
  <definedNames>
    <definedName name="_xlnm.Print_Area" localSheetId="5">Extra!$B$1:$I$10</definedName>
    <definedName name="_xlnm.Print_Area" localSheetId="1">Lely!$B$1:$H$34</definedName>
    <definedName name="_xlnm.Print_Area" localSheetId="0">Riepilogo!$B$3:$F$13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44" l="1"/>
  <c r="D30" i="44"/>
  <c r="D31" i="44"/>
  <c r="D32" i="44"/>
  <c r="D33" i="44"/>
  <c r="E29" i="44"/>
  <c r="E30" i="44"/>
  <c r="E31" i="44"/>
  <c r="E32" i="44"/>
  <c r="E33" i="44"/>
  <c r="G29" i="44"/>
  <c r="H29" i="44" s="1"/>
  <c r="J29" i="44" s="1"/>
  <c r="G30" i="44"/>
  <c r="H30" i="44" s="1"/>
  <c r="J30" i="44" s="1"/>
  <c r="G31" i="44"/>
  <c r="H31" i="44" s="1"/>
  <c r="J31" i="44" s="1"/>
  <c r="G32" i="44"/>
  <c r="H32" i="44" s="1"/>
  <c r="J32" i="44" s="1"/>
  <c r="G33" i="44"/>
  <c r="H33" i="44" s="1"/>
  <c r="J33" i="44" s="1"/>
  <c r="D24" i="44"/>
  <c r="D25" i="44"/>
  <c r="D26" i="44"/>
  <c r="D27" i="44"/>
  <c r="D28" i="44"/>
  <c r="E24" i="44"/>
  <c r="E25" i="44"/>
  <c r="E26" i="44"/>
  <c r="E27" i="44"/>
  <c r="E28" i="44"/>
  <c r="G24" i="44"/>
  <c r="H24" i="44" s="1"/>
  <c r="J24" i="44" s="1"/>
  <c r="G25" i="44"/>
  <c r="H25" i="44" s="1"/>
  <c r="J25" i="44" s="1"/>
  <c r="G26" i="44"/>
  <c r="H26" i="44" s="1"/>
  <c r="J26" i="44" s="1"/>
  <c r="G27" i="44"/>
  <c r="H27" i="44" s="1"/>
  <c r="J27" i="44" s="1"/>
  <c r="G28" i="44"/>
  <c r="H28" i="44" s="1"/>
  <c r="J28" i="44" s="1"/>
  <c r="D11" i="67" l="1"/>
  <c r="E11" i="67"/>
  <c r="G11" i="67"/>
  <c r="H11" i="67" s="1"/>
  <c r="J11" i="67" s="1"/>
  <c r="D12" i="67"/>
  <c r="E12" i="67"/>
  <c r="G12" i="67"/>
  <c r="H12" i="67" s="1"/>
  <c r="J12" i="67" s="1"/>
  <c r="D13" i="67"/>
  <c r="E13" i="67"/>
  <c r="G13" i="67"/>
  <c r="H13" i="67" s="1"/>
  <c r="J13" i="67" s="1"/>
  <c r="D14" i="67"/>
  <c r="E14" i="67"/>
  <c r="G14" i="67"/>
  <c r="H14" i="67" s="1"/>
  <c r="J14" i="67" s="1"/>
  <c r="G10" i="67" l="1"/>
  <c r="H10" i="67" s="1"/>
  <c r="J10" i="67" s="1"/>
  <c r="E10" i="67"/>
  <c r="D10" i="67"/>
  <c r="D15" i="67"/>
  <c r="E15" i="67"/>
  <c r="G15" i="67"/>
  <c r="G11" i="68"/>
  <c r="G12" i="68"/>
  <c r="G13" i="68"/>
  <c r="G14" i="68"/>
  <c r="G15" i="68"/>
  <c r="G16" i="68"/>
  <c r="G17" i="68"/>
  <c r="G18" i="68"/>
  <c r="E11" i="68"/>
  <c r="E12" i="68"/>
  <c r="E13" i="68"/>
  <c r="E14" i="68"/>
  <c r="E15" i="68"/>
  <c r="E16" i="68"/>
  <c r="E17" i="68"/>
  <c r="E18" i="68"/>
  <c r="D11" i="68"/>
  <c r="D12" i="68"/>
  <c r="D13" i="68"/>
  <c r="D14" i="68"/>
  <c r="D15" i="68"/>
  <c r="D16" i="68"/>
  <c r="D17" i="68"/>
  <c r="D18" i="68"/>
  <c r="G10" i="68"/>
  <c r="E10" i="68"/>
  <c r="D10" i="68"/>
  <c r="P12" i="67"/>
  <c r="R12" i="67" s="1"/>
  <c r="T12" i="67" s="1"/>
  <c r="P11" i="67"/>
  <c r="R11" i="67" s="1"/>
  <c r="T11" i="67" s="1"/>
  <c r="P10" i="67"/>
  <c r="R10" i="67" s="1"/>
  <c r="P24" i="69"/>
  <c r="R24" i="69" s="1"/>
  <c r="T24" i="69" s="1"/>
  <c r="P23" i="69"/>
  <c r="R23" i="69" s="1"/>
  <c r="T23" i="69" s="1"/>
  <c r="P22" i="69"/>
  <c r="R22" i="69" s="1"/>
  <c r="T22" i="69" s="1"/>
  <c r="P21" i="69"/>
  <c r="R21" i="69" s="1"/>
  <c r="T21" i="69" s="1"/>
  <c r="P20" i="69"/>
  <c r="R20" i="69" s="1"/>
  <c r="T20" i="69" s="1"/>
  <c r="P19" i="69"/>
  <c r="R19" i="69" s="1"/>
  <c r="T19" i="69" s="1"/>
  <c r="P18" i="69"/>
  <c r="R18" i="69" s="1"/>
  <c r="T18" i="69" s="1"/>
  <c r="P17" i="69"/>
  <c r="R17" i="69" s="1"/>
  <c r="T17" i="69" s="1"/>
  <c r="P16" i="69"/>
  <c r="R16" i="69" s="1"/>
  <c r="T16" i="69" s="1"/>
  <c r="P15" i="69"/>
  <c r="R15" i="69" s="1"/>
  <c r="T15" i="69" s="1"/>
  <c r="P14" i="69"/>
  <c r="R14" i="69" s="1"/>
  <c r="T14" i="69" s="1"/>
  <c r="P13" i="69"/>
  <c r="R13" i="69" s="1"/>
  <c r="T13" i="69" s="1"/>
  <c r="P12" i="69"/>
  <c r="R12" i="69" s="1"/>
  <c r="T12" i="69" s="1"/>
  <c r="P11" i="69"/>
  <c r="R11" i="69" s="1"/>
  <c r="T11" i="69" s="1"/>
  <c r="P10" i="69"/>
  <c r="P24" i="68"/>
  <c r="R24" i="68" s="1"/>
  <c r="T24" i="68" s="1"/>
  <c r="P23" i="68"/>
  <c r="R23" i="68" s="1"/>
  <c r="T23" i="68" s="1"/>
  <c r="P22" i="68"/>
  <c r="R22" i="68" s="1"/>
  <c r="T22" i="68" s="1"/>
  <c r="P21" i="68"/>
  <c r="R21" i="68" s="1"/>
  <c r="T21" i="68" s="1"/>
  <c r="P20" i="68"/>
  <c r="R20" i="68" s="1"/>
  <c r="T20" i="68" s="1"/>
  <c r="P19" i="68"/>
  <c r="R19" i="68" s="1"/>
  <c r="T19" i="68" s="1"/>
  <c r="P18" i="68"/>
  <c r="R18" i="68" s="1"/>
  <c r="T18" i="68" s="1"/>
  <c r="P17" i="68"/>
  <c r="R17" i="68" s="1"/>
  <c r="T17" i="68" s="1"/>
  <c r="P16" i="68"/>
  <c r="R16" i="68" s="1"/>
  <c r="T16" i="68" s="1"/>
  <c r="P15" i="68"/>
  <c r="R15" i="68" s="1"/>
  <c r="T15" i="68" s="1"/>
  <c r="P14" i="68"/>
  <c r="P13" i="68"/>
  <c r="R13" i="68" s="1"/>
  <c r="T13" i="68" s="1"/>
  <c r="P12" i="68"/>
  <c r="R12" i="68" s="1"/>
  <c r="T12" i="68" s="1"/>
  <c r="P11" i="68"/>
  <c r="R11" i="68" s="1"/>
  <c r="T11" i="68" s="1"/>
  <c r="P10" i="68"/>
  <c r="R10" i="68" s="1"/>
  <c r="P24" i="70"/>
  <c r="R24" i="70" s="1"/>
  <c r="T24" i="70" s="1"/>
  <c r="P23" i="70"/>
  <c r="R23" i="70" s="1"/>
  <c r="T23" i="70" s="1"/>
  <c r="P22" i="70"/>
  <c r="R22" i="70" s="1"/>
  <c r="T22" i="70" s="1"/>
  <c r="P21" i="70"/>
  <c r="R21" i="70" s="1"/>
  <c r="T21" i="70" s="1"/>
  <c r="P20" i="70"/>
  <c r="R20" i="70" s="1"/>
  <c r="T20" i="70" s="1"/>
  <c r="P19" i="70"/>
  <c r="R19" i="70" s="1"/>
  <c r="T19" i="70" s="1"/>
  <c r="P18" i="70"/>
  <c r="R18" i="70" s="1"/>
  <c r="T18" i="70" s="1"/>
  <c r="P17" i="70"/>
  <c r="R17" i="70" s="1"/>
  <c r="T17" i="70" s="1"/>
  <c r="P16" i="70"/>
  <c r="R16" i="70" s="1"/>
  <c r="T16" i="70" s="1"/>
  <c r="P15" i="70"/>
  <c r="R15" i="70" s="1"/>
  <c r="T15" i="70" s="1"/>
  <c r="P14" i="70"/>
  <c r="R14" i="70" s="1"/>
  <c r="T14" i="70" s="1"/>
  <c r="P13" i="70"/>
  <c r="P12" i="70"/>
  <c r="R12" i="70" s="1"/>
  <c r="T12" i="70" s="1"/>
  <c r="P11" i="70"/>
  <c r="R11" i="70" s="1"/>
  <c r="T11" i="70" s="1"/>
  <c r="P10" i="70"/>
  <c r="R10" i="70" s="1"/>
  <c r="P11" i="44"/>
  <c r="P12" i="44"/>
  <c r="R12" i="44" s="1"/>
  <c r="P13" i="44"/>
  <c r="R13" i="44" s="1"/>
  <c r="P14" i="44"/>
  <c r="R14" i="44" s="1"/>
  <c r="P15" i="44"/>
  <c r="R15" i="44" s="1"/>
  <c r="P16" i="44"/>
  <c r="R16" i="44" s="1"/>
  <c r="P17" i="44"/>
  <c r="R17" i="44" s="1"/>
  <c r="P18" i="44"/>
  <c r="R18" i="44" s="1"/>
  <c r="P19" i="44"/>
  <c r="R19" i="44" s="1"/>
  <c r="P20" i="44"/>
  <c r="R20" i="44" s="1"/>
  <c r="P21" i="44"/>
  <c r="R21" i="44" s="1"/>
  <c r="P22" i="44"/>
  <c r="R22" i="44" s="1"/>
  <c r="P23" i="44"/>
  <c r="R23" i="44" s="1"/>
  <c r="P24" i="44"/>
  <c r="R24" i="44" s="1"/>
  <c r="P10" i="44"/>
  <c r="R10" i="44" s="1"/>
  <c r="D22" i="44"/>
  <c r="D23" i="44"/>
  <c r="E22" i="44"/>
  <c r="E23" i="44"/>
  <c r="G22" i="44"/>
  <c r="H22" i="44" s="1"/>
  <c r="J22" i="44" s="1"/>
  <c r="G23" i="44"/>
  <c r="H23" i="44" s="1"/>
  <c r="J23" i="44" s="1"/>
  <c r="P25" i="44" l="1"/>
  <c r="R11" i="44"/>
  <c r="P25" i="69"/>
  <c r="P25" i="70"/>
  <c r="P13" i="67"/>
  <c r="P25" i="68"/>
  <c r="R13" i="67"/>
  <c r="E43" i="27" s="1"/>
  <c r="T10" i="67"/>
  <c r="T13" i="67" s="1"/>
  <c r="F43" i="27" s="1"/>
  <c r="R10" i="69"/>
  <c r="T10" i="68"/>
  <c r="R14" i="68"/>
  <c r="T14" i="68" s="1"/>
  <c r="T10" i="70"/>
  <c r="R13" i="70"/>
  <c r="T13" i="70" s="1"/>
  <c r="D17" i="44"/>
  <c r="D18" i="44"/>
  <c r="D19" i="44"/>
  <c r="D20" i="44"/>
  <c r="D21" i="44"/>
  <c r="E17" i="44"/>
  <c r="E18" i="44"/>
  <c r="E19" i="44"/>
  <c r="E20" i="44"/>
  <c r="E21" i="44"/>
  <c r="G17" i="44"/>
  <c r="H17" i="44" s="1"/>
  <c r="J17" i="44" s="1"/>
  <c r="G18" i="44"/>
  <c r="H18" i="44" s="1"/>
  <c r="J18" i="44" s="1"/>
  <c r="G19" i="44"/>
  <c r="H19" i="44" s="1"/>
  <c r="J19" i="44" s="1"/>
  <c r="G20" i="44"/>
  <c r="H20" i="44" s="1"/>
  <c r="J20" i="44" s="1"/>
  <c r="G21" i="44"/>
  <c r="H21" i="44" s="1"/>
  <c r="J21" i="44" s="1"/>
  <c r="D11" i="44"/>
  <c r="D12" i="44"/>
  <c r="D13" i="44"/>
  <c r="D14" i="44"/>
  <c r="D15" i="44"/>
  <c r="D16" i="44"/>
  <c r="E11" i="44"/>
  <c r="E12" i="44"/>
  <c r="E13" i="44"/>
  <c r="E14" i="44"/>
  <c r="E15" i="44"/>
  <c r="E16" i="44"/>
  <c r="G11" i="44"/>
  <c r="H11" i="44" s="1"/>
  <c r="J11" i="44" s="1"/>
  <c r="G12" i="44"/>
  <c r="H12" i="44" s="1"/>
  <c r="J12" i="44" s="1"/>
  <c r="G13" i="44"/>
  <c r="H13" i="44" s="1"/>
  <c r="J13" i="44" s="1"/>
  <c r="G14" i="44"/>
  <c r="H14" i="44" s="1"/>
  <c r="J14" i="44" s="1"/>
  <c r="G15" i="44"/>
  <c r="G16" i="44"/>
  <c r="H16" i="44" s="1"/>
  <c r="J16" i="44" s="1"/>
  <c r="G10" i="44"/>
  <c r="E10" i="44"/>
  <c r="D10" i="44"/>
  <c r="H15" i="44" l="1"/>
  <c r="H15" i="67"/>
  <c r="R25" i="68"/>
  <c r="E27" i="27" s="1"/>
  <c r="R25" i="69"/>
  <c r="E35" i="27" s="1"/>
  <c r="T10" i="69"/>
  <c r="T25" i="69" s="1"/>
  <c r="F35" i="27" s="1"/>
  <c r="T25" i="68"/>
  <c r="F27" i="27" s="1"/>
  <c r="R25" i="70"/>
  <c r="E19" i="27" s="1"/>
  <c r="T25" i="70"/>
  <c r="F19" i="27" s="1"/>
  <c r="G10" i="70"/>
  <c r="E10" i="70"/>
  <c r="D10" i="70"/>
  <c r="J15" i="44" l="1"/>
  <c r="J15" i="67"/>
  <c r="T10" i="44"/>
  <c r="T11" i="44"/>
  <c r="T12" i="44"/>
  <c r="T13" i="44"/>
  <c r="T14" i="44"/>
  <c r="T15" i="44"/>
  <c r="T16" i="44"/>
  <c r="T17" i="44"/>
  <c r="T18" i="44"/>
  <c r="T19" i="44"/>
  <c r="T20" i="44"/>
  <c r="T21" i="44"/>
  <c r="T22" i="44"/>
  <c r="T23" i="44"/>
  <c r="T24" i="44"/>
  <c r="H10" i="44"/>
  <c r="J10" i="44" s="1"/>
  <c r="H11" i="68" l="1"/>
  <c r="J11" i="68" s="1"/>
  <c r="H12" i="68"/>
  <c r="J12" i="68" s="1"/>
  <c r="H13" i="68"/>
  <c r="J13" i="68" s="1"/>
  <c r="H14" i="68"/>
  <c r="J14" i="68" s="1"/>
  <c r="H15" i="68"/>
  <c r="J15" i="68" s="1"/>
  <c r="H16" i="68"/>
  <c r="J16" i="68" s="1"/>
  <c r="H17" i="68"/>
  <c r="J17" i="68" s="1"/>
  <c r="H18" i="68"/>
  <c r="J18" i="68" s="1"/>
  <c r="H10" i="68"/>
  <c r="J10" i="68" s="1"/>
  <c r="H10" i="70"/>
  <c r="J10" i="70" s="1"/>
  <c r="H10" i="69" l="1"/>
  <c r="J10" i="69" s="1"/>
  <c r="H11" i="69" l="1"/>
  <c r="E34" i="27" s="1"/>
  <c r="H16" i="67"/>
  <c r="E42" i="27" s="1"/>
  <c r="H11" i="70"/>
  <c r="E18" i="27" s="1"/>
  <c r="J16" i="67"/>
  <c r="F42" i="27" s="1"/>
  <c r="J11" i="69"/>
  <c r="F34" i="27" s="1"/>
  <c r="J19" i="68"/>
  <c r="F26" i="27" s="1"/>
  <c r="H19" i="68"/>
  <c r="E26" i="27" s="1"/>
  <c r="J11" i="70"/>
  <c r="F18" i="27" s="1"/>
  <c r="T25" i="44"/>
  <c r="F11" i="27" s="1"/>
  <c r="R25" i="44"/>
  <c r="E11" i="27" s="1"/>
  <c r="J34" i="44" l="1"/>
  <c r="F10" i="27" s="1"/>
  <c r="H34" i="44"/>
  <c r="E10" i="27" s="1"/>
  <c r="E28" i="27" l="1"/>
  <c r="E20" i="27"/>
  <c r="E44" i="27"/>
  <c r="E12" i="27"/>
  <c r="E36" i="27"/>
  <c r="F28" i="27"/>
  <c r="F20" i="27"/>
  <c r="F44" i="27"/>
  <c r="F12" i="27"/>
  <c r="F36" i="27"/>
  <c r="F49" i="27" l="1"/>
  <c r="E49" i="27"/>
  <c r="D49" i="27" l="1"/>
</calcChain>
</file>

<file path=xl/sharedStrings.xml><?xml version="1.0" encoding="utf-8"?>
<sst xmlns="http://schemas.openxmlformats.org/spreadsheetml/2006/main" count="196" uniqueCount="43">
  <si>
    <t>Centro di Costo</t>
  </si>
  <si>
    <t>Data movimento</t>
  </si>
  <si>
    <t>Codice Articolo</t>
  </si>
  <si>
    <t>UM</t>
  </si>
  <si>
    <t>Q.tà</t>
  </si>
  <si>
    <t>Unitario</t>
  </si>
  <si>
    <t>Totale</t>
  </si>
  <si>
    <t>Commessa</t>
  </si>
  <si>
    <t>Committente</t>
  </si>
  <si>
    <t>Periodo</t>
  </si>
  <si>
    <t>Commessa :</t>
  </si>
  <si>
    <t>Riepilogo Opere al</t>
  </si>
  <si>
    <t>LELY</t>
  </si>
  <si>
    <t>COMBIBOARD</t>
  </si>
  <si>
    <t>LIQUAMI</t>
  </si>
  <si>
    <t>Descrizione</t>
  </si>
  <si>
    <t>Ricarico</t>
  </si>
  <si>
    <t>Vendita</t>
  </si>
  <si>
    <t>Data</t>
  </si>
  <si>
    <t>N. Persone</t>
  </si>
  <si>
    <t>CONTABILITA' CANTIERE</t>
  </si>
  <si>
    <t>Q.tà (ORE)</t>
  </si>
  <si>
    <t>CONTABILITA' CANTIERE - MATERIALE</t>
  </si>
  <si>
    <t>CONTABILITA' CANTIERE - MANODOPERA</t>
  </si>
  <si>
    <t>TOTALE MATERIALE</t>
  </si>
  <si>
    <t>Costo Totale</t>
  </si>
  <si>
    <t>TOTALE MANODOPERA</t>
  </si>
  <si>
    <t xml:space="preserve">COSTO </t>
  </si>
  <si>
    <t>TOTALE</t>
  </si>
  <si>
    <t>COCLEE</t>
  </si>
  <si>
    <t>EXTRA</t>
  </si>
  <si>
    <t>TOTALE CONTABILITA' CANTIERE</t>
  </si>
  <si>
    <t>1033667_AGRILIGHT</t>
  </si>
  <si>
    <t>1041174_AGRILIGHT</t>
  </si>
  <si>
    <t>1000088_AGRILIGHT</t>
  </si>
  <si>
    <t>1027668_AGRILIGHT</t>
  </si>
  <si>
    <t>9.1185.1175.0</t>
  </si>
  <si>
    <t xml:space="preserve"> Δ</t>
  </si>
  <si>
    <t>9.1185.0065.6</t>
  </si>
  <si>
    <t>ORE TOTALI</t>
  </si>
  <si>
    <t>ZQTC FAS360X4,5TR</t>
  </si>
  <si>
    <t>INSTALLAZIONE FRIGO 120 qli.</t>
  </si>
  <si>
    <t>DISCOVERY ALLEGRO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</si>
</sst>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#,##0.00\ &quot;€&quot;;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[$€]\ * #,##0.00_-;\-[$€]\ * #,##0.00_-;_-[$€]\ * \-??_-;_-@_-"/>
    <numFmt numFmtId="165" formatCode="#,##0.00_ ;[Red]\-#,##0.00\ "/>
    <numFmt numFmtId="166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Ubuntu"/>
      <family val="2"/>
    </font>
    <font>
      <b/>
      <sz val="14"/>
      <name val="Ubuntu"/>
      <family val="2"/>
    </font>
    <font>
      <b/>
      <sz val="12"/>
      <name val="Ubuntu"/>
      <family val="2"/>
    </font>
    <font>
      <sz val="12"/>
      <name val="Ubuntu"/>
      <family val="2"/>
    </font>
    <font>
      <sz val="10"/>
      <color rgb="FF000000"/>
      <name val="Ubuntu"/>
      <family val="2"/>
    </font>
    <font>
      <b/>
      <sz val="10"/>
      <name val="Ubuntu"/>
      <family val="2"/>
    </font>
    <font>
      <sz val="14"/>
      <name val="Ubuntu"/>
      <family val="2"/>
    </font>
    <font>
      <b/>
      <sz val="16"/>
      <name val="Ubuntu"/>
      <family val="2"/>
    </font>
    <font>
      <b/>
      <sz val="12"/>
      <color rgb="FF00B050"/>
      <name val="Ubuntu"/>
      <family val="2"/>
    </font>
    <font>
      <sz val="10"/>
      <color theme="1"/>
      <name val="Ubuntu"/>
      <family val="2"/>
    </font>
    <font>
      <sz val="1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4" fontId="2" fillId="0" borderId="0" applyFill="0" applyBorder="0" applyAlignment="0" applyProtection="0"/>
    <xf numFmtId="164" fontId="1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7" fillId="0" borderId="0"/>
    <xf numFmtId="0" fontId="17" fillId="0" borderId="0"/>
    <xf numFmtId="9" fontId="17" fillId="0" borderId="0" applyFont="0" applyFill="0" applyBorder="0" applyAlignment="0" applyProtection="0"/>
  </cellStyleXfs>
  <cellXfs count="165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43" fontId="7" fillId="0" borderId="0" xfId="8" applyFont="1" applyFill="1"/>
    <xf numFmtId="0" fontId="7" fillId="0" borderId="0" xfId="0" applyFont="1" applyAlignment="1">
      <alignment vertical="center"/>
    </xf>
    <xf numFmtId="14" fontId="7" fillId="0" borderId="23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166" fontId="7" fillId="0" borderId="24" xfId="8" applyNumberFormat="1" applyFont="1" applyFill="1" applyBorder="1" applyAlignment="1" applyProtection="1">
      <alignment horizontal="right" vertical="center" wrapText="1"/>
    </xf>
    <xf numFmtId="9" fontId="11" fillId="0" borderId="24" xfId="0" applyNumberFormat="1" applyFont="1" applyBorder="1" applyAlignment="1">
      <alignment horizontal="center" vertical="center" wrapText="1"/>
    </xf>
    <xf numFmtId="7" fontId="11" fillId="0" borderId="25" xfId="0" applyNumberFormat="1" applyFont="1" applyBorder="1" applyAlignment="1">
      <alignment horizontal="right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7" fontId="11" fillId="2" borderId="4" xfId="0" applyNumberFormat="1" applyFont="1" applyFill="1" applyBorder="1" applyAlignment="1">
      <alignment horizontal="right" vertical="top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43" fontId="12" fillId="2" borderId="26" xfId="8" applyFont="1" applyFill="1" applyBorder="1" applyAlignment="1" applyProtection="1">
      <alignment horizontal="center" vertical="center" wrapText="1"/>
    </xf>
    <xf numFmtId="43" fontId="12" fillId="2" borderId="17" xfId="8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7" fillId="0" borderId="34" xfId="0" applyNumberFormat="1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right" vertical="top" wrapText="1"/>
    </xf>
    <xf numFmtId="165" fontId="9" fillId="3" borderId="0" xfId="0" applyNumberFormat="1" applyFont="1" applyFill="1" applyAlignment="1">
      <alignment horizontal="center" vertical="center"/>
    </xf>
    <xf numFmtId="165" fontId="15" fillId="3" borderId="0" xfId="0" applyNumberFormat="1" applyFont="1" applyFill="1" applyAlignment="1">
      <alignment horizontal="center" vertical="center"/>
    </xf>
    <xf numFmtId="10" fontId="15" fillId="3" borderId="0" xfId="3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6" fontId="10" fillId="3" borderId="0" xfId="0" applyNumberFormat="1" applyFont="1" applyFill="1" applyAlignment="1">
      <alignment horizontal="right" vertical="center"/>
    </xf>
    <xf numFmtId="166" fontId="10" fillId="3" borderId="6" xfId="0" applyNumberFormat="1" applyFont="1" applyFill="1" applyBorder="1" applyAlignment="1">
      <alignment horizontal="right" vertical="center"/>
    </xf>
    <xf numFmtId="165" fontId="8" fillId="3" borderId="0" xfId="0" applyNumberFormat="1" applyFont="1" applyFill="1" applyAlignment="1">
      <alignment horizontal="right" vertical="center"/>
    </xf>
    <xf numFmtId="0" fontId="13" fillId="3" borderId="0" xfId="0" applyFont="1" applyFill="1" applyAlignment="1">
      <alignment horizontal="right" vertical="center"/>
    </xf>
    <xf numFmtId="166" fontId="8" fillId="3" borderId="0" xfId="0" applyNumberFormat="1" applyFont="1" applyFill="1" applyAlignment="1">
      <alignment horizontal="right" vertical="center"/>
    </xf>
    <xf numFmtId="165" fontId="10" fillId="3" borderId="0" xfId="0" applyNumberFormat="1" applyFont="1" applyFill="1" applyAlignment="1">
      <alignment vertical="center"/>
    </xf>
    <xf numFmtId="0" fontId="10" fillId="3" borderId="0" xfId="0" applyFont="1" applyFill="1" applyAlignment="1">
      <alignment vertical="center"/>
    </xf>
    <xf numFmtId="165" fontId="9" fillId="3" borderId="0" xfId="0" applyNumberFormat="1" applyFont="1" applyFill="1" applyAlignment="1">
      <alignment horizontal="right" vertical="center"/>
    </xf>
    <xf numFmtId="0" fontId="11" fillId="0" borderId="19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top" wrapText="1"/>
    </xf>
    <xf numFmtId="0" fontId="14" fillId="2" borderId="46" xfId="0" applyFont="1" applyFill="1" applyBorder="1" applyAlignment="1">
      <alignment horizontal="right" vertical="center"/>
    </xf>
    <xf numFmtId="166" fontId="8" fillId="4" borderId="36" xfId="0" applyNumberFormat="1" applyFont="1" applyFill="1" applyBorder="1" applyAlignment="1">
      <alignment horizontal="right" vertical="center"/>
    </xf>
    <xf numFmtId="166" fontId="8" fillId="4" borderId="18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65" fontId="10" fillId="3" borderId="0" xfId="0" applyNumberFormat="1" applyFont="1" applyFill="1" applyAlignment="1">
      <alignment horizontal="right" vertical="center"/>
    </xf>
    <xf numFmtId="0" fontId="10" fillId="3" borderId="6" xfId="0" applyFont="1" applyFill="1" applyBorder="1" applyAlignment="1">
      <alignment horizontal="center" vertical="center"/>
    </xf>
    <xf numFmtId="165" fontId="10" fillId="3" borderId="6" xfId="0" applyNumberFormat="1" applyFont="1" applyFill="1" applyBorder="1" applyAlignment="1">
      <alignment horizontal="right" vertical="center"/>
    </xf>
    <xf numFmtId="0" fontId="10" fillId="3" borderId="6" xfId="0" applyFont="1" applyFill="1" applyBorder="1" applyAlignment="1">
      <alignment vertical="center"/>
    </xf>
    <xf numFmtId="10" fontId="10" fillId="3" borderId="0" xfId="3" applyNumberFormat="1" applyFont="1" applyFill="1" applyAlignment="1">
      <alignment horizontal="center" vertical="center"/>
    </xf>
    <xf numFmtId="166" fontId="7" fillId="0" borderId="24" xfId="3" applyNumberFormat="1" applyFont="1" applyFill="1" applyBorder="1" applyAlignment="1" applyProtection="1">
      <alignment horizontal="right" vertical="center" wrapText="1"/>
    </xf>
    <xf numFmtId="43" fontId="7" fillId="0" borderId="0" xfId="8" applyFont="1" applyFill="1" applyAlignment="1"/>
    <xf numFmtId="0" fontId="12" fillId="2" borderId="16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43" fontId="12" fillId="2" borderId="26" xfId="8" applyFont="1" applyFill="1" applyBorder="1" applyAlignment="1" applyProtection="1">
      <alignment horizontal="center" vertical="center"/>
    </xf>
    <xf numFmtId="43" fontId="12" fillId="2" borderId="17" xfId="8" applyFont="1" applyFill="1" applyBorder="1" applyAlignment="1" applyProtection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43" fontId="12" fillId="2" borderId="20" xfId="0" applyNumberFormat="1" applyFont="1" applyFill="1" applyBorder="1" applyAlignment="1">
      <alignment horizontal="center" vertical="center"/>
    </xf>
    <xf numFmtId="43" fontId="12" fillId="2" borderId="22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4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66" fontId="7" fillId="0" borderId="24" xfId="8" applyNumberFormat="1" applyFont="1" applyFill="1" applyBorder="1" applyAlignment="1" applyProtection="1">
      <alignment horizontal="right" vertical="center"/>
    </xf>
    <xf numFmtId="9" fontId="11" fillId="0" borderId="24" xfId="0" applyNumberFormat="1" applyFont="1" applyBorder="1" applyAlignment="1">
      <alignment horizontal="center" vertical="center"/>
    </xf>
    <xf numFmtId="7" fontId="11" fillId="0" borderId="25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right" vertical="center"/>
    </xf>
    <xf numFmtId="14" fontId="7" fillId="0" borderId="34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right" vertical="center"/>
    </xf>
    <xf numFmtId="0" fontId="7" fillId="2" borderId="4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left" vertical="top"/>
    </xf>
    <xf numFmtId="0" fontId="11" fillId="2" borderId="4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right" vertical="top"/>
    </xf>
    <xf numFmtId="166" fontId="7" fillId="2" borderId="4" xfId="0" applyNumberFormat="1" applyFont="1" applyFill="1" applyBorder="1" applyAlignment="1">
      <alignment horizontal="right" vertical="top"/>
    </xf>
    <xf numFmtId="0" fontId="11" fillId="0" borderId="19" xfId="0" applyFont="1" applyBorder="1" applyAlignment="1">
      <alignment horizontal="center" vertical="center"/>
    </xf>
    <xf numFmtId="7" fontId="11" fillId="0" borderId="11" xfId="0" applyNumberFormat="1" applyFont="1" applyBorder="1" applyAlignment="1">
      <alignment horizontal="right" vertical="center"/>
    </xf>
    <xf numFmtId="7" fontId="11" fillId="0" borderId="35" xfId="0" applyNumberFormat="1" applyFont="1" applyBorder="1" applyAlignment="1">
      <alignment horizontal="right" vertical="center"/>
    </xf>
    <xf numFmtId="43" fontId="7" fillId="0" borderId="7" xfId="8" applyFont="1" applyFill="1" applyBorder="1" applyAlignment="1" applyProtection="1">
      <alignment horizontal="right" vertical="center"/>
    </xf>
    <xf numFmtId="43" fontId="7" fillId="0" borderId="19" xfId="8" applyFont="1" applyFill="1" applyBorder="1" applyAlignment="1" applyProtection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right" vertical="top"/>
    </xf>
    <xf numFmtId="7" fontId="11" fillId="2" borderId="4" xfId="0" applyNumberFormat="1" applyFont="1" applyFill="1" applyBorder="1" applyAlignment="1">
      <alignment horizontal="right" vertical="top"/>
    </xf>
    <xf numFmtId="166" fontId="8" fillId="4" borderId="2" xfId="0" applyNumberFormat="1" applyFont="1" applyFill="1" applyBorder="1" applyAlignment="1">
      <alignment vertical="center"/>
    </xf>
    <xf numFmtId="10" fontId="11" fillId="0" borderId="7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3" fontId="7" fillId="0" borderId="7" xfId="8" applyFont="1" applyBorder="1" applyAlignment="1">
      <alignment vertical="center"/>
    </xf>
    <xf numFmtId="9" fontId="7" fillId="0" borderId="47" xfId="9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14" fontId="14" fillId="2" borderId="40" xfId="0" applyNumberFormat="1" applyFont="1" applyFill="1" applyBorder="1" applyAlignment="1">
      <alignment horizontal="right" vertical="center"/>
    </xf>
    <xf numFmtId="0" fontId="16" fillId="0" borderId="7" xfId="5" applyFont="1" applyBorder="1" applyAlignment="1">
      <alignment horizontal="right" vertical="center" wrapText="1"/>
    </xf>
    <xf numFmtId="9" fontId="11" fillId="0" borderId="7" xfId="0" applyNumberFormat="1" applyFont="1" applyBorder="1" applyAlignment="1">
      <alignment horizontal="center" vertical="center"/>
    </xf>
    <xf numFmtId="166" fontId="7" fillId="0" borderId="7" xfId="8" applyNumberFormat="1" applyFont="1" applyFill="1" applyBorder="1" applyAlignment="1" applyProtection="1">
      <alignment horizontal="right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16" fillId="0" borderId="47" xfId="5" applyNumberFormat="1" applyFont="1" applyBorder="1" applyAlignment="1">
      <alignment horizontal="center" vertical="center" wrapText="1"/>
    </xf>
    <xf numFmtId="10" fontId="11" fillId="0" borderId="19" xfId="0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right" vertical="center"/>
    </xf>
    <xf numFmtId="0" fontId="9" fillId="2" borderId="9" xfId="0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0" fontId="9" fillId="2" borderId="13" xfId="0" applyFont="1" applyFill="1" applyBorder="1" applyAlignment="1">
      <alignment horizontal="right" vertical="center"/>
    </xf>
    <xf numFmtId="0" fontId="9" fillId="2" borderId="27" xfId="0" applyFont="1" applyFill="1" applyBorder="1" applyAlignment="1">
      <alignment horizontal="right" vertical="center"/>
    </xf>
    <xf numFmtId="0" fontId="9" fillId="2" borderId="28" xfId="0" applyFont="1" applyFill="1" applyBorder="1" applyAlignment="1">
      <alignment horizontal="right" vertical="center"/>
    </xf>
    <xf numFmtId="0" fontId="9" fillId="2" borderId="29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right" vertical="center"/>
    </xf>
    <xf numFmtId="0" fontId="14" fillId="2" borderId="45" xfId="0" applyFont="1" applyFill="1" applyBorder="1" applyAlignment="1">
      <alignment horizontal="right" vertical="center"/>
    </xf>
    <xf numFmtId="0" fontId="14" fillId="2" borderId="32" xfId="0" applyFont="1" applyFill="1" applyBorder="1" applyAlignment="1">
      <alignment horizontal="right" vertical="center"/>
    </xf>
    <xf numFmtId="0" fontId="14" fillId="2" borderId="38" xfId="0" applyFont="1" applyFill="1" applyBorder="1" applyAlignment="1">
      <alignment horizontal="right" vertical="center"/>
    </xf>
    <xf numFmtId="0" fontId="14" fillId="2" borderId="39" xfId="0" applyFont="1" applyFill="1" applyBorder="1" applyAlignment="1">
      <alignment horizontal="right" vertical="center"/>
    </xf>
    <xf numFmtId="0" fontId="14" fillId="2" borderId="33" xfId="0" applyFont="1" applyFill="1" applyBorder="1" applyAlignment="1">
      <alignment horizontal="right" vertical="center"/>
    </xf>
    <xf numFmtId="0" fontId="9" fillId="2" borderId="44" xfId="0" applyFont="1" applyFill="1" applyBorder="1" applyAlignment="1">
      <alignment horizontal="right" vertical="center"/>
    </xf>
    <xf numFmtId="0" fontId="9" fillId="2" borderId="46" xfId="0" applyFont="1" applyFill="1" applyBorder="1" applyAlignment="1">
      <alignment horizontal="right" vertical="center"/>
    </xf>
    <xf numFmtId="0" fontId="10" fillId="2" borderId="44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right" vertical="center"/>
    </xf>
    <xf numFmtId="0" fontId="9" fillId="2" borderId="43" xfId="0" applyFont="1" applyFill="1" applyBorder="1" applyAlignment="1">
      <alignment horizontal="right" vertical="center"/>
    </xf>
    <xf numFmtId="0" fontId="10" fillId="2" borderId="41" xfId="0" applyFont="1" applyFill="1" applyBorder="1" applyAlignment="1">
      <alignment horizontal="center"/>
    </xf>
    <xf numFmtId="0" fontId="10" fillId="2" borderId="42" xfId="0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right" vertical="center"/>
    </xf>
    <xf numFmtId="0" fontId="9" fillId="2" borderId="40" xfId="0" applyFont="1" applyFill="1" applyBorder="1" applyAlignment="1">
      <alignment horizontal="right" vertical="center"/>
    </xf>
    <xf numFmtId="0" fontId="10" fillId="2" borderId="38" xfId="0" applyFont="1" applyFill="1" applyBorder="1" applyAlignment="1">
      <alignment horizontal="center"/>
    </xf>
    <xf numFmtId="0" fontId="10" fillId="2" borderId="39" xfId="0" applyFont="1" applyFill="1" applyBorder="1" applyAlignment="1">
      <alignment horizontal="center"/>
    </xf>
    <xf numFmtId="0" fontId="10" fillId="2" borderId="40" xfId="0" applyFont="1" applyFill="1" applyBorder="1" applyAlignment="1">
      <alignment horizontal="center"/>
    </xf>
  </cellXfs>
  <cellStyles count="13">
    <cellStyle name="Euro" xfId="1" xr:uid="{00000000-0005-0000-0000-000000000000}"/>
    <cellStyle name="Euro 2" xfId="2" xr:uid="{00000000-0005-0000-0000-000001000000}"/>
    <cellStyle name="Migliaia" xfId="8" builtinId="3"/>
    <cellStyle name="Migliaia 2" xfId="3" xr:uid="{00000000-0005-0000-0000-000003000000}"/>
    <cellStyle name="Migliaia 2 2" xfId="4" xr:uid="{00000000-0005-0000-0000-000004000000}"/>
    <cellStyle name="Normal 2 2" xfId="11" xr:uid="{36688808-649B-4975-A0E4-503623251E47}"/>
    <cellStyle name="Normal 3" xfId="10" xr:uid="{00119AEC-80E0-49A4-A794-61210D630317}"/>
    <cellStyle name="Normale" xfId="0" builtinId="0"/>
    <cellStyle name="Normale 2" xfId="5" xr:uid="{00000000-0005-0000-0000-000006000000}"/>
    <cellStyle name="Normale 2 2" xfId="6" xr:uid="{00000000-0005-0000-0000-000007000000}"/>
    <cellStyle name="Normale 3" xfId="7" xr:uid="{00000000-0005-0000-0000-000008000000}"/>
    <cellStyle name="Percent 2 2" xfId="12" xr:uid="{F68E43A3-AB9D-437E-ABE8-D41062CF90C3}"/>
    <cellStyle name="Percentuale" xfId="9" builtinId="5"/>
  </cellStyles>
  <dxfs count="2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Ubuntu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Ubuntu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Ubuntu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Ubuntu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Ubuntu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Ubuntu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Ubuntu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Ubuntu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numFmt numFmtId="11" formatCode="#,##0.00\ &quot;€&quot;;\-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Ubuntu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66" formatCode="#,##0.00\ &quot;€&quot;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Ubuntu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Ubuntu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Ubuntu"/>
        <family val="2"/>
        <scheme val="none"/>
      </font>
      <alignment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A99CB-38F2-41A2-A1F1-230D888CA19F}" name="Tabella1" displayName="Tabella1" ref="L9:T25" totalsRowCount="1" headerRowDxfId="234" dataDxfId="233" totalsRowDxfId="231" tableBorderDxfId="232" totalsRowBorderDxfId="230">
  <autoFilter ref="L9:T24" xr:uid="{C92A99CB-38F2-41A2-A1F1-230D888CA19F}"/>
  <sortState xmlns:xlrd2="http://schemas.microsoft.com/office/spreadsheetml/2017/richdata2" ref="L10:T10">
    <sortCondition ref="L9:L10"/>
  </sortState>
  <tableColumns count="9">
    <tableColumn id="1" xr3:uid="{35D887EC-AB56-4B4D-9328-EA74F92C2BE8}" name="Data" totalsRowLabel="Totale" dataDxfId="229" totalsRowDxfId="228"/>
    <tableColumn id="2" xr3:uid="{6D41EFB1-E82B-41C7-870F-3A3D7D0B7EE7}" name="Descrizione" dataDxfId="227" totalsRowDxfId="226"/>
    <tableColumn id="3" xr3:uid="{C8F7CF36-9FD6-4C4B-9B6E-9C7AD378C126}" name="N. Persone" dataDxfId="225" totalsRowDxfId="224"/>
    <tableColumn id="5" xr3:uid="{A293830F-A12C-4AB7-9AC2-E0921228BAFE}" name="Q.tà (ORE)" dataDxfId="223" totalsRowDxfId="222"/>
    <tableColumn id="4" xr3:uid="{5CF44881-EE67-4E18-8C12-F008E92ABD59}" name="ORE TOTALI" totalsRowFunction="sum" dataDxfId="221" totalsRowDxfId="220">
      <calculatedColumnFormula>Tabella1[[#This Row],[N. Persone]]*Tabella1[[#This Row],[Q.tà (ORE)]]</calculatedColumnFormula>
    </tableColumn>
    <tableColumn id="7" xr3:uid="{C6C02A84-131B-4158-AAAE-E3AF88E630EC}" name="Unitario" dataDxfId="219" totalsRowDxfId="218" dataCellStyle="Migliaia"/>
    <tableColumn id="8" xr3:uid="{4BEAB565-4921-4E5D-B8E3-481C0E9B154F}" name="Totale" totalsRowFunction="sum" dataDxfId="217" totalsRowDxfId="216">
      <calculatedColumnFormula>Tabella1[[#This Row],[ORE TOTALI]]*Tabella1[[#This Row],[Unitario]]</calculatedColumnFormula>
    </tableColumn>
    <tableColumn id="9" xr3:uid="{D06EB6F4-2FAE-46F3-B69E-0B2D750CBB3E}" name="Ricarico" dataDxfId="215" totalsRowDxfId="214"/>
    <tableColumn id="10" xr3:uid="{E4074939-E2F5-4193-AB0C-2EE490BC3323}" name="Vendita" totalsRowFunction="sum" dataDxfId="213" totalsRowDxfId="212">
      <calculatedColumnFormula>Tabella1[[#This Row],[Totale]]+(Tabella1[[#This Row],[Totale]]*Tabella1[[#This Row],[Ricarico]])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CB0832-6F65-4EE8-A096-532AFE2B6A92}" name="Tabella2" displayName="Tabella2" ref="B9:J34" totalsRowCount="1" headerRowDxfId="211" dataDxfId="209" totalsRowDxfId="207" headerRowBorderDxfId="210" tableBorderDxfId="208" totalsRowBorderDxfId="206">
  <autoFilter ref="B9:J33" xr:uid="{14CB0832-6F65-4EE8-A096-532AFE2B6A92}"/>
  <sortState xmlns:xlrd2="http://schemas.microsoft.com/office/spreadsheetml/2017/richdata2" ref="B10:J10">
    <sortCondition ref="B9:B10"/>
  </sortState>
  <tableColumns count="9">
    <tableColumn id="1" xr3:uid="{893602B4-8449-403A-BFB4-E2BC6189BF09}" name="Data movimento" totalsRowLabel="Totale" dataDxfId="205" totalsRowDxfId="204"/>
    <tableColumn id="2" xr3:uid="{1FA5A14A-6749-422B-96CB-B2CB9DBE1902}" name="Codice Articolo" dataDxfId="203" totalsRowDxfId="202"/>
    <tableColumn id="3" xr3:uid="{CFDE3134-4775-48AA-98D5-E954DDA5373C}" name="Descrizione" dataDxfId="201" totalsRowDxfId="200">
      <calculatedColumnFormula>IFERROR(VLOOKUP(Tabella2[[#This Row],[Codice Articolo]],#REF!,2,),IFERROR(VLOOKUP(Tabella2[[#This Row],[Codice Articolo]],#REF!,2,),""))</calculatedColumnFormula>
    </tableColumn>
    <tableColumn id="4" xr3:uid="{1BFE3282-011D-4BFA-A624-EB6520CA289E}" name="UM" dataDxfId="199" totalsRowDxfId="198">
      <calculatedColumnFormula>IFERROR(VLOOKUP(Tabella2[[#This Row],[Codice Articolo]],#REF!,3,),IFERROR(VLOOKUP(Tabella2[[#This Row],[Codice Articolo]],#REF!,3,),""))</calculatedColumnFormula>
    </tableColumn>
    <tableColumn id="5" xr3:uid="{9B4BDC63-8191-44CC-9F32-4B73D7A429CE}" name="Q.tà" dataDxfId="197" totalsRowDxfId="196"/>
    <tableColumn id="6" xr3:uid="{432240E8-C9AE-4374-B548-E2E450F449E0}" name="Unitario" dataDxfId="195" totalsRowDxfId="194" dataCellStyle="Migliaia">
      <calculatedColumnFormula>IFERROR(VLOOKUP(Tabella2[[#This Row],[Codice Articolo]],#REF!,4,),IFERROR(VLOOKUP(Tabella2[[#This Row],[Codice Articolo]],#REF!,4,),""))</calculatedColumnFormula>
    </tableColumn>
    <tableColumn id="7" xr3:uid="{3B781D3F-95E9-4166-B37F-770336646626}" name="Costo Totale" totalsRowFunction="sum" dataDxfId="193" totalsRowDxfId="192" dataCellStyle="Migliaia">
      <calculatedColumnFormula>IFERROR(Tabella2[[#This Row],[Q.tà]]*Tabella2[[#This Row],[Unitario]],"")</calculatedColumnFormula>
    </tableColumn>
    <tableColumn id="8" xr3:uid="{6CD87D99-504B-42EE-9D78-6922A1465C7B}" name="Ricarico" dataDxfId="191" totalsRowDxfId="190"/>
    <tableColumn id="9" xr3:uid="{962E0324-B3DA-4108-B60A-C112BFEFC2B0}" name="Vendita" totalsRowFunction="sum" dataDxfId="189" totalsRowDxfId="188">
      <calculatedColumnFormula>IFERROR(Tabella2[[#This Row],[Costo Totale]]+(Tabella2[[#This Row],[Costo Totale]]*Tabella2[[#This Row],[Ricarico]]),"")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F28C53-0BE8-4183-AC02-A03DFA992A16}" name="COCLEE" displayName="COCLEE" ref="B9:J11" totalsRowCount="1" headerRowDxfId="187" dataDxfId="185" totalsRowDxfId="183" headerRowBorderDxfId="186" tableBorderDxfId="184" totalsRowBorderDxfId="182">
  <autoFilter ref="B9:J10" xr:uid="{4EF28C53-0BE8-4183-AC02-A03DFA992A16}"/>
  <tableColumns count="9">
    <tableColumn id="1" xr3:uid="{55435AF4-1F5C-46B4-8956-AEF468F5FB31}" name="Data movimento" totalsRowLabel="Totale" dataDxfId="181" totalsRowDxfId="180"/>
    <tableColumn id="2" xr3:uid="{FB5F460E-3187-4C5E-B04E-886646BD3BCF}" name="Codice Articolo" dataDxfId="179" totalsRowDxfId="178"/>
    <tableColumn id="3" xr3:uid="{BC35972D-EABE-46A7-AD26-10266F6DF745}" name="Descrizione" dataDxfId="177" totalsRowDxfId="176">
      <calculatedColumnFormula>IFERROR(VLOOKUP(COCLEE[[#This Row],[Codice Articolo]],#REF!,2,),"")</calculatedColumnFormula>
    </tableColumn>
    <tableColumn id="4" xr3:uid="{8D49FAEF-C355-4F17-8CDC-28E1660A2850}" name="UM" dataDxfId="175" totalsRowDxfId="174">
      <calculatedColumnFormula>IFERROR(VLOOKUP(COCLEE[[#This Row],[Codice Articolo]],#REF!,3,),"")</calculatedColumnFormula>
    </tableColumn>
    <tableColumn id="5" xr3:uid="{303FE5CF-23AB-4359-B98D-5CB62A5962FE}" name="Q.tà" dataDxfId="173" totalsRowDxfId="172"/>
    <tableColumn id="6" xr3:uid="{A0FFD20F-CF55-4036-BBC2-E60131B24101}" name="Unitario" dataDxfId="171" totalsRowDxfId="170" dataCellStyle="Migliaia">
      <calculatedColumnFormula>IFERROR(VLOOKUP(COCLEE[[#This Row],[Codice Articolo]],#REF!,4,),"")</calculatedColumnFormula>
    </tableColumn>
    <tableColumn id="7" xr3:uid="{763C2595-1BB8-4B7A-89A5-FACEFB7D25B3}" name="Costo Totale" totalsRowFunction="sum" dataDxfId="169" totalsRowDxfId="168" dataCellStyle="Migliaia">
      <calculatedColumnFormula>IFERROR(COCLEE[[#This Row],[Q.tà]]*COCLEE[[#This Row],[Unitario]],"")</calculatedColumnFormula>
    </tableColumn>
    <tableColumn id="8" xr3:uid="{24C8344B-27D3-44B7-98DB-7E086155CB3B}" name="Ricarico" dataDxfId="167" totalsRowDxfId="166"/>
    <tableColumn id="9" xr3:uid="{3980259F-9119-42E6-973D-238E591FCF75}" name="Vendita" totalsRowFunction="sum" dataDxfId="165" totalsRowDxfId="164">
      <calculatedColumnFormula>IFERROR(COCLEE[[#This Row],[Costo Totale]]+(COCLEE[[#This Row],[Costo Totale]]*COCLEE[[#This Row],[Ricarico]]),"")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B4491FC-04C0-444C-B71C-7000021A6864}" name="Tabella114" displayName="Tabella114" ref="L9:T25" totalsRowCount="1" headerRowDxfId="163" dataDxfId="162" totalsRowDxfId="160" tableBorderDxfId="161" totalsRowBorderDxfId="159">
  <autoFilter ref="L9:T24" xr:uid="{FB4491FC-04C0-444C-B71C-7000021A6864}"/>
  <sortState xmlns:xlrd2="http://schemas.microsoft.com/office/spreadsheetml/2017/richdata2" ref="L10:T10">
    <sortCondition ref="L9:L10"/>
  </sortState>
  <tableColumns count="9">
    <tableColumn id="1" xr3:uid="{77AC0A63-E9EB-498D-A0AB-6476A79A6983}" name="Data" totalsRowLabel="Totale" dataDxfId="158" totalsRowDxfId="157"/>
    <tableColumn id="2" xr3:uid="{AEC786D7-08E7-422D-9437-B2E06D29D1C8}" name="Descrizione" dataDxfId="156" totalsRowDxfId="155"/>
    <tableColumn id="3" xr3:uid="{81A8AE84-3F0E-44A2-A731-80F722C93053}" name="N. Persone" dataDxfId="154" totalsRowDxfId="153"/>
    <tableColumn id="5" xr3:uid="{1D9045AA-D333-42ED-94D4-86023F4E4D92}" name="Q.tà (ORE)" dataDxfId="152" totalsRowDxfId="151"/>
    <tableColumn id="4" xr3:uid="{2AB4B215-7851-4A6B-A312-BEFDE34DA323}" name="ORE TOTALI" totalsRowFunction="sum" dataDxfId="150" totalsRowDxfId="149">
      <calculatedColumnFormula>Tabella114[[#This Row],[N. Persone]]*Tabella114[[#This Row],[Q.tà (ORE)]]</calculatedColumnFormula>
    </tableColumn>
    <tableColumn id="7" xr3:uid="{97E9242F-8298-4DD3-8F04-7C7FC1F34098}" name="Unitario" dataDxfId="148" totalsRowDxfId="147" dataCellStyle="Migliaia"/>
    <tableColumn id="8" xr3:uid="{6A6FF913-1197-4E75-825F-A4E61963AE9C}" name="Totale" totalsRowFunction="sum" dataDxfId="146" totalsRowDxfId="145">
      <calculatedColumnFormula>Tabella114[[#This Row],[ORE TOTALI]]*Tabella114[[#This Row],[Unitario]]</calculatedColumnFormula>
    </tableColumn>
    <tableColumn id="9" xr3:uid="{95AD8DD5-7831-4060-854E-E5BA72520E5D}" name="Ricarico" dataDxfId="144" totalsRowDxfId="143"/>
    <tableColumn id="10" xr3:uid="{6A4B985E-C5EE-4B2C-8590-A53CB26D2605}" name="Vendita" totalsRowFunction="sum" dataDxfId="142" totalsRowDxfId="141">
      <calculatedColumnFormula>Tabella114[[#This Row],[Totale]]+(Tabella114[[#This Row],[Totale]]*Tabella114[[#This Row],[Ricarico]])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DB91C4-D08D-4CD8-B807-C49A882D68F3}" name="Tabella29" displayName="Tabella29" ref="B9:J19" totalsRowCount="1" headerRowDxfId="140" dataDxfId="138" totalsRowDxfId="136" headerRowBorderDxfId="139" tableBorderDxfId="137" totalsRowBorderDxfId="135">
  <autoFilter ref="B9:J18" xr:uid="{07DB91C4-D08D-4CD8-B807-C49A882D68F3}"/>
  <tableColumns count="9">
    <tableColumn id="1" xr3:uid="{DB217883-FB1D-4C81-BE19-867AE72DE5DF}" name="Data movimento" totalsRowLabel="Totale" dataDxfId="134" totalsRowDxfId="133"/>
    <tableColumn id="2" xr3:uid="{881CA630-4D6A-4CA8-AE81-1FCDB219A127}" name="Codice Articolo" dataDxfId="132" totalsRowDxfId="131"/>
    <tableColumn id="3" xr3:uid="{89A12A54-A750-4006-858B-BE5422975200}" name="Descrizione" dataDxfId="130" totalsRowDxfId="129">
      <calculatedColumnFormula>IFERROR(VLOOKUP(Tabella29[[#This Row],[Codice Articolo]],#REF!,2,),"")</calculatedColumnFormula>
    </tableColumn>
    <tableColumn id="4" xr3:uid="{FF2F3BB4-1D0A-4897-8042-D9E646DFFA34}" name="UM" dataDxfId="128" totalsRowDxfId="127">
      <calculatedColumnFormula>IFERROR(VLOOKUP(Tabella29[[#This Row],[Codice Articolo]],#REF!,3,),"")</calculatedColumnFormula>
    </tableColumn>
    <tableColumn id="5" xr3:uid="{8C518D71-8DFB-43C8-8D06-0CE0E12FACF3}" name="Q.tà" dataDxfId="126" totalsRowDxfId="125"/>
    <tableColumn id="6" xr3:uid="{4B77DA36-6E80-4AE5-8BCD-F6C702CEE3D2}" name="Unitario" dataDxfId="124" totalsRowDxfId="123" dataCellStyle="Migliaia">
      <calculatedColumnFormula>IFERROR(VLOOKUP(Tabella29[[#This Row],[Codice Articolo]],#REF!,4,),"")</calculatedColumnFormula>
    </tableColumn>
    <tableColumn id="7" xr3:uid="{30CF9C96-9822-4290-B6B3-2109154726FA}" name="Costo Totale" totalsRowFunction="sum" dataDxfId="122" totalsRowDxfId="121" dataCellStyle="Migliaia">
      <calculatedColumnFormula>IFERROR(Tabella29[[#This Row],[Q.tà]]*Tabella29[[#This Row],[Unitario]],"")</calculatedColumnFormula>
    </tableColumn>
    <tableColumn id="8" xr3:uid="{4650BDCC-3E37-466A-AC76-0009B6914FAF}" name="Ricarico" dataDxfId="120" totalsRowDxfId="119"/>
    <tableColumn id="9" xr3:uid="{2677D0D7-7542-43AE-91EF-69B1E9DA9287}" name="Vendita" totalsRowFunction="sum" dataDxfId="118" totalsRowDxfId="117">
      <calculatedColumnFormula>IFERROR(Tabella29[[#This Row],[Costo Totale]]+(Tabella29[[#This Row],[Costo Totale]]*Tabella29[[#This Row],[Ricarico]]),"")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35EDBDB-FD3E-49D2-A831-10A1B2751D5E}" name="Tabella11415" displayName="Tabella11415" ref="L9:T25" totalsRowCount="1" headerRowDxfId="116" dataDxfId="115" totalsRowDxfId="113" tableBorderDxfId="114" totalsRowBorderDxfId="112">
  <autoFilter ref="L9:T24" xr:uid="{635EDBDB-FD3E-49D2-A831-10A1B2751D5E}"/>
  <sortState xmlns:xlrd2="http://schemas.microsoft.com/office/spreadsheetml/2017/richdata2" ref="L10:T10">
    <sortCondition ref="L9:L10"/>
  </sortState>
  <tableColumns count="9">
    <tableColumn id="1" xr3:uid="{80029E1A-26EA-4133-80BC-DD397B86BC3B}" name="Data" totalsRowLabel="Totale" dataDxfId="111" totalsRowDxfId="110"/>
    <tableColumn id="2" xr3:uid="{22F0220F-0FC9-4AD7-B3A5-9814FBA2FC63}" name="Descrizione" dataDxfId="109" totalsRowDxfId="108"/>
    <tableColumn id="3" xr3:uid="{3701A140-8EDD-4494-B986-D07891E0D52B}" name="N. Persone" dataDxfId="107" totalsRowDxfId="106"/>
    <tableColumn id="5" xr3:uid="{5E59B554-EA29-49E3-B370-4C26609E3E46}" name="Q.tà (ORE)" dataDxfId="105" totalsRowDxfId="104"/>
    <tableColumn id="4" xr3:uid="{F9C692D4-8BDD-443F-B8AF-742E948044E9}" name="ORE TOTALI" totalsRowFunction="sum" dataDxfId="103" totalsRowDxfId="102">
      <calculatedColumnFormula>Tabella11415[[#This Row],[N. Persone]]*Tabella11415[[#This Row],[Q.tà (ORE)]]</calculatedColumnFormula>
    </tableColumn>
    <tableColumn id="7" xr3:uid="{8B953ACA-7B2D-4153-826C-506D35DC895D}" name="Unitario" dataDxfId="101" totalsRowDxfId="100" dataCellStyle="Migliaia"/>
    <tableColumn id="8" xr3:uid="{561403E7-F9B5-4E55-ACD8-D6EE25B9B9BB}" name="Totale" totalsRowFunction="sum" dataDxfId="99" totalsRowDxfId="98">
      <calculatedColumnFormula>Tabella11415[[#This Row],[ORE TOTALI]]*Tabella11415[[#This Row],[Unitario]]</calculatedColumnFormula>
    </tableColumn>
    <tableColumn id="9" xr3:uid="{77D530F2-B78D-45E6-98DE-921338A14DFD}" name="Ricarico" dataDxfId="97" totalsRowDxfId="96"/>
    <tableColumn id="10" xr3:uid="{25589273-08B8-4141-93F6-4EB264FE8B68}" name="Vendita" totalsRowFunction="sum" dataDxfId="95" totalsRowDxfId="94">
      <calculatedColumnFormula>Tabella11415[[#This Row],[Totale]]+(Tabella11415[[#This Row],[Totale]]*Tabella11415[[#This Row],[Ricarico]])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23E060E-DD2B-4973-AC75-B8341918AFF5}" name="Tabella211" displayName="Tabella211" ref="B9:J11" totalsRowCount="1" headerRowDxfId="93" dataDxfId="91" totalsRowDxfId="89" headerRowBorderDxfId="92" tableBorderDxfId="90" totalsRowBorderDxfId="88">
  <autoFilter ref="B9:J10" xr:uid="{823E060E-DD2B-4973-AC75-B8341918AFF5}"/>
  <tableColumns count="9">
    <tableColumn id="1" xr3:uid="{05323BB9-B868-4F0B-B86C-F8AF3DC78C45}" name="Data movimento" totalsRowLabel="Totale" dataDxfId="87" totalsRowDxfId="86"/>
    <tableColumn id="2" xr3:uid="{CCB001E1-1AE1-4FF8-8787-4AC4B6F4945A}" name="Codice Articolo" dataDxfId="85" totalsRowDxfId="84"/>
    <tableColumn id="3" xr3:uid="{9D919E6F-6142-43D6-B892-D1F5132A35DC}" name="Descrizione" dataDxfId="83" totalsRowDxfId="82"/>
    <tableColumn id="4" xr3:uid="{83CD276A-16C8-42B8-B648-1886EFB3E882}" name="UM" dataDxfId="81" totalsRowDxfId="80"/>
    <tableColumn id="5" xr3:uid="{870BE752-7267-4AB2-BA53-9BD424F17AA5}" name="Q.tà" dataDxfId="79" totalsRowDxfId="78"/>
    <tableColumn id="6" xr3:uid="{CF88F4B1-DCFF-4835-8C30-C1B7B542A663}" name="Unitario" dataDxfId="77" totalsRowDxfId="76" dataCellStyle="Migliaia"/>
    <tableColumn id="7" xr3:uid="{2AD0D0D3-779F-438B-957B-463E9FAD3DFF}" name="Costo Totale" totalsRowFunction="sum" dataDxfId="75" totalsRowDxfId="74" dataCellStyle="Migliaia">
      <calculatedColumnFormula>Tabella211[[#This Row],[Q.tà]]*Tabella211[[#This Row],[Unitario]]</calculatedColumnFormula>
    </tableColumn>
    <tableColumn id="8" xr3:uid="{E9D89D7A-A15C-49C1-B735-97BF3DFD2815}" name="Ricarico" dataDxfId="73" totalsRowDxfId="72"/>
    <tableColumn id="9" xr3:uid="{3E08522B-9199-4CF3-9E24-8B02A105F33B}" name="Vendita" totalsRowFunction="sum" dataDxfId="71" totalsRowDxfId="70">
      <calculatedColumnFormula>Tabella211[[#This Row],[Costo Totale]]+(Tabella211[[#This Row],[Costo Totale]]*Tabella211[[#This Row],[Ricarico]])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C9F9418-4B28-42B2-98E8-20A163850678}" name="Tabella11416" displayName="Tabella11416" ref="L9:T25" totalsRowCount="1" headerRowDxfId="69" dataDxfId="68" totalsRowDxfId="66" tableBorderDxfId="67" totalsRowBorderDxfId="65">
  <autoFilter ref="L9:T24" xr:uid="{CC9F9418-4B28-42B2-98E8-20A163850678}"/>
  <sortState xmlns:xlrd2="http://schemas.microsoft.com/office/spreadsheetml/2017/richdata2" ref="L10:T10">
    <sortCondition ref="L9:L10"/>
  </sortState>
  <tableColumns count="9">
    <tableColumn id="1" xr3:uid="{7615C10F-18EB-44DC-B51D-20A97AF7E1F9}" name="Data" totalsRowLabel="Totale" dataDxfId="64" totalsRowDxfId="63"/>
    <tableColumn id="2" xr3:uid="{AAA9CD4F-AF03-4950-9376-2CE8F839E89C}" name="Descrizione" dataDxfId="62" totalsRowDxfId="61"/>
    <tableColumn id="3" xr3:uid="{2BB42F1D-4D9B-4C00-BEDB-2C446423875C}" name="N. Persone" dataDxfId="60" totalsRowDxfId="59"/>
    <tableColumn id="5" xr3:uid="{B83074D8-31CA-4A52-89CD-160442DB393F}" name="Q.tà (ORE)" dataDxfId="58" totalsRowDxfId="57"/>
    <tableColumn id="4" xr3:uid="{8CCA8DC5-379E-4899-86AC-000066155B58}" name="ORE TOTALI" totalsRowFunction="sum" dataDxfId="56" totalsRowDxfId="55">
      <calculatedColumnFormula>Tabella11416[[#This Row],[N. Persone]]*Tabella11416[[#This Row],[Q.tà (ORE)]]</calculatedColumnFormula>
    </tableColumn>
    <tableColumn id="7" xr3:uid="{D33950D6-6F60-4B39-88E5-E96E483F16D0}" name="Unitario" dataDxfId="54" totalsRowDxfId="53" dataCellStyle="Migliaia"/>
    <tableColumn id="8" xr3:uid="{2CB690CD-E744-426E-9DC6-C892BB2AD373}" name="Totale" totalsRowFunction="sum" dataDxfId="52" totalsRowDxfId="51">
      <calculatedColumnFormula>Tabella11416[[#This Row],[ORE TOTALI]]*Tabella11416[[#This Row],[Unitario]]</calculatedColumnFormula>
    </tableColumn>
    <tableColumn id="9" xr3:uid="{D3C58B77-2FBA-4748-BD50-A6D687C217F3}" name="Ricarico" dataDxfId="50" totalsRowDxfId="49"/>
    <tableColumn id="10" xr3:uid="{40CF672C-FD54-4D8E-9160-313967B8636A}" name="Vendita" totalsRowFunction="sum" dataDxfId="48" totalsRowDxfId="47">
      <calculatedColumnFormula>Tabella11416[[#This Row],[Totale]]+(Tabella11416[[#This Row],[Totale]]*Tabella11416[[#This Row],[Ricarico]])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D6DB8DB-DABE-40B8-9E12-C870B2F2231F}" name="Tabella2913" displayName="Tabella2913" ref="B9:J16" totalsRowCount="1" headerRowDxfId="46" dataDxfId="44" totalsRowDxfId="42" headerRowBorderDxfId="45" tableBorderDxfId="43" totalsRowBorderDxfId="41">
  <autoFilter ref="B9:J15" xr:uid="{5D6DB8DB-DABE-40B8-9E12-C870B2F2231F}"/>
  <tableColumns count="9">
    <tableColumn id="1" xr3:uid="{5BF4C39B-9E03-4626-AACB-85EB69A5E407}" name="Data movimento" totalsRowLabel="Totale" dataDxfId="40" totalsRowDxfId="39"/>
    <tableColumn id="2" xr3:uid="{76E88DD4-AE26-45F3-8D98-EDE7CE20653A}" name="Codice Articolo" dataDxfId="38" totalsRowDxfId="37"/>
    <tableColumn id="3" xr3:uid="{0C933758-1652-4EB6-B428-DB5A35BD94A7}" name="Descrizione" dataDxfId="36" totalsRowDxfId="35">
      <calculatedColumnFormula>IFERROR(VLOOKUP(Tabella2[[#This Row],[Codice Articolo]],#REF!,2,),IFERROR(VLOOKUP(Tabella2[[#This Row],[Codice Articolo]],#REF!,2,),""))</calculatedColumnFormula>
    </tableColumn>
    <tableColumn id="4" xr3:uid="{3FE3B09B-4809-4958-99EB-4FA3F9E9A6FB}" name="UM" dataDxfId="34" totalsRowDxfId="33">
      <calculatedColumnFormula>IFERROR(VLOOKUP(Tabella2[[#This Row],[Codice Articolo]],#REF!,3,),IFERROR(VLOOKUP(Tabella2[[#This Row],[Codice Articolo]],#REF!,3,),""))</calculatedColumnFormula>
    </tableColumn>
    <tableColumn id="5" xr3:uid="{6AFA6B1D-C619-4BE5-9061-5BEB8117297C}" name="Q.tà" dataDxfId="32" totalsRowDxfId="31"/>
    <tableColumn id="6" xr3:uid="{74C39330-1BC3-4537-988F-D2400B5AE60B}" name="Unitario" dataDxfId="30" totalsRowDxfId="29" dataCellStyle="Migliaia">
      <calculatedColumnFormula>IFERROR(VLOOKUP(Tabella2[[#This Row],[Codice Articolo]],#REF!,4,),IFERROR(VLOOKUP(Tabella2[[#This Row],[Codice Articolo]],#REF!,4,),""))</calculatedColumnFormula>
    </tableColumn>
    <tableColumn id="7" xr3:uid="{7BBA5C23-2D20-49AD-A0B1-EFFA0DB9A6DF}" name="Costo Totale" totalsRowFunction="sum" dataDxfId="28" totalsRowDxfId="27" dataCellStyle="Migliaia">
      <calculatedColumnFormula>IFERROR(Tabella2[[#This Row],[Q.tà]]*Tabella2[[#This Row],[Unitario]],"")</calculatedColumnFormula>
    </tableColumn>
    <tableColumn id="8" xr3:uid="{D09AEAA8-A419-42FD-9F23-9E950B9E93DD}" name="Ricarico" dataDxfId="26" totalsRowDxfId="25"/>
    <tableColumn id="9" xr3:uid="{D62BD432-A90F-4010-93D8-89998486B703}" name="Vendita" totalsRowFunction="sum" dataDxfId="24" totalsRowDxfId="23">
      <calculatedColumnFormula>IFERROR(Tabella2[[#This Row],[Costo Totale]]+(Tabella2[[#This Row],[Costo Totale]]*Tabella2[[#This Row],[Ricarico]]),"")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E549629-976F-4CD1-9108-50E3259DA852}" name="Tabella11417" displayName="Tabella11417" ref="L9:T13" totalsRowCount="1" headerRowDxfId="22" dataDxfId="21" totalsRowDxfId="19" tableBorderDxfId="20" totalsRowBorderDxfId="18">
  <autoFilter ref="L9:T12" xr:uid="{FE549629-976F-4CD1-9108-50E3259DA852}"/>
  <sortState xmlns:xlrd2="http://schemas.microsoft.com/office/spreadsheetml/2017/richdata2" ref="L10:T10">
    <sortCondition ref="L9:L10"/>
  </sortState>
  <tableColumns count="9">
    <tableColumn id="1" xr3:uid="{7DC536B0-0E20-4151-A709-136FF0733B53}" name="Data" totalsRowLabel="Totale" dataDxfId="17" totalsRowDxfId="16"/>
    <tableColumn id="2" xr3:uid="{6E6A5EE0-3435-4ABE-90C8-562F2A739783}" name="Descrizione" dataDxfId="15" totalsRowDxfId="14"/>
    <tableColumn id="3" xr3:uid="{55A4817D-08E5-43AD-A5CA-C9A9ACD23536}" name="N. Persone" dataDxfId="13" totalsRowDxfId="12"/>
    <tableColumn id="5" xr3:uid="{2F5F1189-7DFD-499E-B039-5604A83C8A5C}" name="Q.tà (ORE)" dataDxfId="11" totalsRowDxfId="10"/>
    <tableColumn id="4" xr3:uid="{6A989BA3-1D0F-4E8B-A282-C4BE3A12ADF0}" name="ORE TOTALI" totalsRowFunction="sum" dataDxfId="9" totalsRowDxfId="8">
      <calculatedColumnFormula>Tabella11417[[#This Row],[N. Persone]]*Tabella11417[[#This Row],[Q.tà (ORE)]]</calculatedColumnFormula>
    </tableColumn>
    <tableColumn id="7" xr3:uid="{1A3CAFBA-4D42-4D42-97B1-05A10E119EB4}" name="Unitario" dataDxfId="7" totalsRowDxfId="6" dataCellStyle="Migliaia"/>
    <tableColumn id="8" xr3:uid="{9CA34290-8444-4EB9-A739-A07896F2E586}" name="Totale" totalsRowFunction="sum" dataDxfId="5" totalsRowDxfId="4">
      <calculatedColumnFormula>Tabella11417[[#This Row],[ORE TOTALI]]*Tabella11417[[#This Row],[Unitario]]</calculatedColumnFormula>
    </tableColumn>
    <tableColumn id="9" xr3:uid="{77B1D8C7-1A7F-4240-8FB1-60BBE3FA66EC}" name="Ricarico" dataDxfId="3" totalsRowDxfId="2"/>
    <tableColumn id="10" xr3:uid="{2B4A7C91-52D1-4BFB-88CD-D2BF5BE9D9CE}" name="Vendita" totalsRowFunction="sum" dataDxfId="1" totalsRowDxfId="0">
      <calculatedColumnFormula>Tabella11417[[#This Row],[Totale]]+(Tabella11417[[#This Row],[Totale]]*Tabella11417[[#This Row],[Ricarico]])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Q49"/>
  <sheetViews>
    <sheetView zoomScale="85" zoomScaleNormal="85" workbookViewId="0">
      <selection activeCell="G9" sqref="G9"/>
    </sheetView>
  </sheetViews>
  <sheetFormatPr defaultColWidth="8.85546875" defaultRowHeight="16.5" outlineLevelRow="1" outlineLevelCol="1" x14ac:dyDescent="0.2"/>
  <cols>
    <col min="1" max="1" width="4.7109375" style="42" customWidth="1"/>
    <col min="2" max="2" width="8.85546875" style="42"/>
    <col min="3" max="3" width="43.28515625" style="42" customWidth="1"/>
    <col min="4" max="4" width="14.7109375" style="42" customWidth="1" outlineLevel="1"/>
    <col min="5" max="5" width="25.7109375" style="42" customWidth="1" outlineLevel="1"/>
    <col min="6" max="6" width="25.7109375" style="42" customWidth="1"/>
    <col min="7" max="7" width="26.7109375" style="42" customWidth="1"/>
    <col min="8" max="10" width="8.85546875" style="42"/>
    <col min="11" max="11" width="11.5703125" style="42" bestFit="1" customWidth="1"/>
    <col min="12" max="12" width="12.140625" style="42" bestFit="1" customWidth="1"/>
    <col min="13" max="13" width="11.7109375" style="42" bestFit="1" customWidth="1"/>
    <col min="14" max="14" width="11.5703125" style="42" bestFit="1" customWidth="1"/>
    <col min="15" max="15" width="15.28515625" style="42" bestFit="1" customWidth="1"/>
    <col min="16" max="16384" width="8.85546875" style="42"/>
  </cols>
  <sheetData>
    <row r="1" spans="1:17" ht="17.25" thickBot="1" x14ac:dyDescent="0.25"/>
    <row r="2" spans="1:17" ht="24.95" customHeight="1" thickBot="1" x14ac:dyDescent="0.25">
      <c r="B2" s="141" t="s">
        <v>20</v>
      </c>
      <c r="C2" s="143"/>
      <c r="D2" s="143"/>
      <c r="E2" s="143"/>
      <c r="F2" s="142"/>
    </row>
    <row r="3" spans="1:17" ht="24.95" customHeight="1" x14ac:dyDescent="0.2">
      <c r="B3" s="144" t="s">
        <v>10</v>
      </c>
      <c r="C3" s="145"/>
      <c r="D3" s="145"/>
      <c r="E3" s="146"/>
      <c r="F3" s="46"/>
      <c r="H3" s="41"/>
      <c r="I3" s="41"/>
      <c r="P3" s="41"/>
    </row>
    <row r="4" spans="1:17" ht="24.95" customHeight="1" thickBot="1" x14ac:dyDescent="0.25">
      <c r="B4" s="147" t="s">
        <v>11</v>
      </c>
      <c r="C4" s="148"/>
      <c r="D4" s="148"/>
      <c r="E4" s="149"/>
      <c r="F4" s="106"/>
      <c r="H4" s="41"/>
      <c r="I4" s="41"/>
      <c r="P4" s="41"/>
    </row>
    <row r="5" spans="1:17" ht="18" thickBot="1" x14ac:dyDescent="0.25">
      <c r="C5" s="41"/>
      <c r="D5" s="32"/>
      <c r="E5" s="32"/>
      <c r="F5" s="33"/>
      <c r="G5" s="34"/>
      <c r="H5" s="41"/>
      <c r="I5" s="41"/>
      <c r="P5" s="41"/>
      <c r="Q5" s="35"/>
    </row>
    <row r="6" spans="1:17" ht="24.95" customHeight="1" outlineLevel="1" thickBot="1" x14ac:dyDescent="0.25">
      <c r="B6" s="141" t="s">
        <v>12</v>
      </c>
      <c r="C6" s="143"/>
      <c r="D6" s="143"/>
      <c r="E6" s="143"/>
      <c r="F6" s="142"/>
      <c r="G6" s="34"/>
      <c r="H6" s="41"/>
      <c r="I6" s="41"/>
      <c r="P6" s="41"/>
      <c r="Q6" s="35"/>
    </row>
    <row r="7" spans="1:17" ht="8.1" customHeight="1" outlineLevel="1" x14ac:dyDescent="0.2">
      <c r="C7" s="41"/>
      <c r="D7" s="32"/>
      <c r="E7" s="32"/>
      <c r="F7" s="33"/>
      <c r="G7" s="34"/>
      <c r="H7" s="41"/>
      <c r="I7" s="41"/>
      <c r="P7" s="41"/>
      <c r="Q7" s="35"/>
    </row>
    <row r="8" spans="1:17" ht="15.95" customHeight="1" outlineLevel="1" x14ac:dyDescent="0.2">
      <c r="C8" s="41"/>
      <c r="D8" s="32"/>
      <c r="E8" s="43" t="s">
        <v>27</v>
      </c>
      <c r="F8" s="43" t="s">
        <v>28</v>
      </c>
      <c r="G8" s="34"/>
      <c r="H8" s="41"/>
      <c r="I8" s="41"/>
      <c r="P8" s="41"/>
      <c r="Q8" s="35"/>
    </row>
    <row r="9" spans="1:17" ht="8.1" customHeight="1" outlineLevel="1" x14ac:dyDescent="0.2">
      <c r="C9" s="41"/>
      <c r="D9" s="32"/>
      <c r="E9" s="32"/>
      <c r="F9" s="33"/>
      <c r="G9" s="34"/>
      <c r="H9" s="41"/>
      <c r="I9" s="41"/>
      <c r="P9" s="41"/>
      <c r="Q9" s="35"/>
    </row>
    <row r="10" spans="1:17" ht="15.95" customHeight="1" outlineLevel="1" x14ac:dyDescent="0.2">
      <c r="C10" s="51" t="s">
        <v>24</v>
      </c>
      <c r="D10" s="32"/>
      <c r="E10" s="36">
        <f>Tabella2[[#Totals],[Costo Totale]]</f>
        <v>0</v>
      </c>
      <c r="F10" s="36">
        <f>Tabella2[[#Totals],[Vendita]]</f>
        <v>0</v>
      </c>
      <c r="G10" s="34"/>
      <c r="H10" s="41"/>
      <c r="I10" s="41"/>
      <c r="P10" s="41"/>
      <c r="Q10" s="35"/>
    </row>
    <row r="11" spans="1:17" ht="15.95" customHeight="1" outlineLevel="1" x14ac:dyDescent="0.2">
      <c r="B11" s="52"/>
      <c r="C11" s="53" t="s">
        <v>26</v>
      </c>
      <c r="D11" s="54"/>
      <c r="E11" s="37">
        <f>Tabella1[[#Totals],[Totale]]</f>
        <v>0</v>
      </c>
      <c r="F11" s="37">
        <f>Tabella1[[#Totals],[Vendita]]</f>
        <v>0</v>
      </c>
      <c r="H11" s="41"/>
      <c r="I11" s="41"/>
      <c r="P11" s="41"/>
      <c r="Q11" s="35"/>
    </row>
    <row r="12" spans="1:17" ht="15.95" customHeight="1" outlineLevel="1" x14ac:dyDescent="0.2">
      <c r="B12" s="35"/>
      <c r="C12" s="38" t="s">
        <v>28</v>
      </c>
      <c r="D12" s="39"/>
      <c r="E12" s="40">
        <f>SUM(E10:E11)</f>
        <v>0</v>
      </c>
      <c r="F12" s="40">
        <f>SUM(F10:F11)</f>
        <v>0</v>
      </c>
      <c r="H12" s="41"/>
      <c r="I12" s="41"/>
      <c r="P12" s="41"/>
      <c r="Q12" s="35"/>
    </row>
    <row r="13" spans="1:17" ht="8.1" customHeight="1" thickBot="1" x14ac:dyDescent="0.25">
      <c r="B13" s="35"/>
      <c r="C13" s="41"/>
      <c r="D13" s="41"/>
      <c r="E13" s="41"/>
      <c r="G13" s="55"/>
      <c r="H13" s="41"/>
      <c r="I13" s="41"/>
      <c r="J13" s="41"/>
    </row>
    <row r="14" spans="1:17" ht="24.95" customHeight="1" outlineLevel="1" thickBot="1" x14ac:dyDescent="0.25">
      <c r="A14" s="41"/>
      <c r="B14" s="141" t="s">
        <v>29</v>
      </c>
      <c r="C14" s="143"/>
      <c r="D14" s="143"/>
      <c r="E14" s="143"/>
      <c r="F14" s="142"/>
    </row>
    <row r="15" spans="1:17" ht="8.1" customHeight="1" outlineLevel="1" x14ac:dyDescent="0.2">
      <c r="A15" s="41"/>
      <c r="C15" s="41"/>
      <c r="D15" s="32"/>
      <c r="E15" s="32"/>
      <c r="F15" s="33"/>
    </row>
    <row r="16" spans="1:17" ht="15.95" customHeight="1" outlineLevel="1" x14ac:dyDescent="0.2">
      <c r="A16" s="41"/>
      <c r="C16" s="41"/>
      <c r="D16" s="32"/>
      <c r="E16" s="43" t="s">
        <v>27</v>
      </c>
      <c r="F16" s="43" t="s">
        <v>28</v>
      </c>
    </row>
    <row r="17" spans="1:8" ht="8.1" customHeight="1" outlineLevel="1" x14ac:dyDescent="0.2">
      <c r="A17" s="41"/>
      <c r="C17" s="41"/>
      <c r="D17" s="32"/>
      <c r="E17" s="32"/>
      <c r="F17" s="33"/>
    </row>
    <row r="18" spans="1:8" ht="15.95" customHeight="1" outlineLevel="1" x14ac:dyDescent="0.2">
      <c r="A18" s="41"/>
      <c r="C18" s="51" t="s">
        <v>24</v>
      </c>
      <c r="D18" s="32"/>
      <c r="E18" s="36">
        <f>COCLEE[[#Totals],[Costo Totale]]</f>
        <v>0</v>
      </c>
      <c r="F18" s="36">
        <f>COCLEE[[#Totals],[Vendita]]</f>
        <v>0</v>
      </c>
    </row>
    <row r="19" spans="1:8" ht="15.95" customHeight="1" outlineLevel="1" x14ac:dyDescent="0.2">
      <c r="A19" s="41"/>
      <c r="B19" s="52"/>
      <c r="C19" s="53" t="s">
        <v>26</v>
      </c>
      <c r="D19" s="54"/>
      <c r="E19" s="37">
        <f>Tabella114[[#Totals],[Totale]]</f>
        <v>0</v>
      </c>
      <c r="F19" s="37">
        <f>Tabella114[[#Totals],[Vendita]]</f>
        <v>0</v>
      </c>
      <c r="G19" s="35"/>
      <c r="H19" s="35"/>
    </row>
    <row r="20" spans="1:8" ht="15.95" customHeight="1" outlineLevel="1" x14ac:dyDescent="0.2">
      <c r="A20" s="41"/>
      <c r="B20" s="35"/>
      <c r="C20" s="38" t="s">
        <v>28</v>
      </c>
      <c r="D20" s="39"/>
      <c r="E20" s="40">
        <f>SUM(E18:E19)</f>
        <v>0</v>
      </c>
      <c r="F20" s="40">
        <f>SUM(F18:F19)</f>
        <v>0</v>
      </c>
    </row>
    <row r="21" spans="1:8" ht="8.1" customHeight="1" thickBot="1" x14ac:dyDescent="0.25">
      <c r="A21" s="41"/>
      <c r="B21" s="41"/>
      <c r="C21" s="41"/>
    </row>
    <row r="22" spans="1:8" ht="24.95" customHeight="1" outlineLevel="1" thickBot="1" x14ac:dyDescent="0.25">
      <c r="A22" s="41"/>
      <c r="B22" s="141" t="s">
        <v>13</v>
      </c>
      <c r="C22" s="143"/>
      <c r="D22" s="143"/>
      <c r="E22" s="143"/>
      <c r="F22" s="142"/>
    </row>
    <row r="23" spans="1:8" ht="8.1" customHeight="1" outlineLevel="1" x14ac:dyDescent="0.2">
      <c r="A23" s="41"/>
      <c r="C23" s="41"/>
      <c r="D23" s="32"/>
      <c r="E23" s="32"/>
      <c r="F23" s="33"/>
    </row>
    <row r="24" spans="1:8" ht="15.95" customHeight="1" outlineLevel="1" x14ac:dyDescent="0.2">
      <c r="A24" s="41"/>
      <c r="C24" s="41"/>
      <c r="D24" s="32"/>
      <c r="E24" s="43" t="s">
        <v>27</v>
      </c>
      <c r="F24" s="43" t="s">
        <v>28</v>
      </c>
    </row>
    <row r="25" spans="1:8" ht="8.1" customHeight="1" outlineLevel="1" x14ac:dyDescent="0.2">
      <c r="A25" s="41"/>
      <c r="C25" s="41"/>
      <c r="D25" s="32"/>
      <c r="E25" s="32"/>
      <c r="F25" s="33"/>
    </row>
    <row r="26" spans="1:8" ht="15.95" customHeight="1" outlineLevel="1" x14ac:dyDescent="0.2">
      <c r="A26" s="41"/>
      <c r="C26" s="51" t="s">
        <v>24</v>
      </c>
      <c r="D26" s="32"/>
      <c r="E26" s="36">
        <f>Tabella29[[#Totals],[Costo Totale]]</f>
        <v>0</v>
      </c>
      <c r="F26" s="36">
        <f>Tabella29[[#Totals],[Vendita]]</f>
        <v>0</v>
      </c>
      <c r="G26" s="35"/>
      <c r="H26" s="35"/>
    </row>
    <row r="27" spans="1:8" ht="15.95" customHeight="1" outlineLevel="1" x14ac:dyDescent="0.2">
      <c r="A27" s="41"/>
      <c r="B27" s="52"/>
      <c r="C27" s="53" t="s">
        <v>26</v>
      </c>
      <c r="D27" s="54"/>
      <c r="E27" s="37">
        <f>Tabella11415[[#Totals],[Totale]]</f>
        <v>0</v>
      </c>
      <c r="F27" s="37">
        <f>Tabella11415[[#Totals],[Vendita]]</f>
        <v>0</v>
      </c>
    </row>
    <row r="28" spans="1:8" ht="15.95" customHeight="1" outlineLevel="1" x14ac:dyDescent="0.2">
      <c r="A28" s="41"/>
      <c r="B28" s="35"/>
      <c r="C28" s="38" t="s">
        <v>28</v>
      </c>
      <c r="D28" s="39"/>
      <c r="E28" s="40">
        <f>SUM(E26:E27)</f>
        <v>0</v>
      </c>
      <c r="F28" s="40">
        <f>SUM(F26:F27)</f>
        <v>0</v>
      </c>
    </row>
    <row r="29" spans="1:8" ht="8.1" customHeight="1" thickBot="1" x14ac:dyDescent="0.25">
      <c r="A29" s="41"/>
      <c r="B29" s="41"/>
      <c r="C29" s="41"/>
    </row>
    <row r="30" spans="1:8" ht="24.95" customHeight="1" outlineLevel="1" thickBot="1" x14ac:dyDescent="0.25">
      <c r="A30" s="41"/>
      <c r="B30" s="141" t="s">
        <v>14</v>
      </c>
      <c r="C30" s="143"/>
      <c r="D30" s="143"/>
      <c r="E30" s="143"/>
      <c r="F30" s="142"/>
    </row>
    <row r="31" spans="1:8" ht="8.1" customHeight="1" outlineLevel="1" x14ac:dyDescent="0.2">
      <c r="C31" s="41"/>
      <c r="D31" s="32"/>
      <c r="E31" s="32"/>
      <c r="F31" s="33"/>
    </row>
    <row r="32" spans="1:8" ht="15.95" customHeight="1" outlineLevel="1" x14ac:dyDescent="0.2">
      <c r="C32" s="41"/>
      <c r="D32" s="32"/>
      <c r="E32" s="43" t="s">
        <v>27</v>
      </c>
      <c r="F32" s="43" t="s">
        <v>28</v>
      </c>
    </row>
    <row r="33" spans="2:6" ht="8.1" customHeight="1" outlineLevel="1" x14ac:dyDescent="0.2">
      <c r="C33" s="41"/>
      <c r="D33" s="32"/>
      <c r="E33" s="32"/>
      <c r="F33" s="33"/>
    </row>
    <row r="34" spans="2:6" ht="15.95" customHeight="1" outlineLevel="1" x14ac:dyDescent="0.2">
      <c r="C34" s="51" t="s">
        <v>24</v>
      </c>
      <c r="D34" s="32"/>
      <c r="E34" s="36">
        <f>Tabella211[[#Totals],[Costo Totale]]</f>
        <v>0</v>
      </c>
      <c r="F34" s="36">
        <f>Tabella211[[#Totals],[Vendita]]</f>
        <v>0</v>
      </c>
    </row>
    <row r="35" spans="2:6" ht="15.95" customHeight="1" outlineLevel="1" x14ac:dyDescent="0.2">
      <c r="B35" s="52"/>
      <c r="C35" s="53" t="s">
        <v>26</v>
      </c>
      <c r="D35" s="54"/>
      <c r="E35" s="37">
        <f>Tabella11416[[#Totals],[Totale]]</f>
        <v>0</v>
      </c>
      <c r="F35" s="37">
        <f>Tabella11416[[#Totals],[Vendita]]</f>
        <v>0</v>
      </c>
    </row>
    <row r="36" spans="2:6" ht="15.95" customHeight="1" outlineLevel="1" x14ac:dyDescent="0.2">
      <c r="B36" s="35"/>
      <c r="C36" s="38" t="s">
        <v>28</v>
      </c>
      <c r="D36" s="39"/>
      <c r="E36" s="40">
        <f>SUM(E34:E35)</f>
        <v>0</v>
      </c>
      <c r="F36" s="40">
        <f>SUM(F34:F35)</f>
        <v>0</v>
      </c>
    </row>
    <row r="37" spans="2:6" ht="8.1" customHeight="1" thickBot="1" x14ac:dyDescent="0.25"/>
    <row r="38" spans="2:6" ht="24.95" customHeight="1" outlineLevel="1" thickBot="1" x14ac:dyDescent="0.25">
      <c r="B38" s="141" t="s">
        <v>30</v>
      </c>
      <c r="C38" s="143"/>
      <c r="D38" s="143"/>
      <c r="E38" s="143"/>
      <c r="F38" s="142"/>
    </row>
    <row r="39" spans="2:6" ht="8.1" customHeight="1" outlineLevel="1" x14ac:dyDescent="0.2">
      <c r="C39" s="41"/>
      <c r="D39" s="32"/>
      <c r="E39" s="32"/>
      <c r="F39" s="33"/>
    </row>
    <row r="40" spans="2:6" ht="15.95" customHeight="1" outlineLevel="1" x14ac:dyDescent="0.2">
      <c r="C40" s="41"/>
      <c r="D40" s="32"/>
      <c r="E40" s="43" t="s">
        <v>27</v>
      </c>
      <c r="F40" s="43" t="s">
        <v>28</v>
      </c>
    </row>
    <row r="41" spans="2:6" ht="8.1" customHeight="1" outlineLevel="1" x14ac:dyDescent="0.2">
      <c r="C41" s="41"/>
      <c r="D41" s="32"/>
      <c r="E41" s="32"/>
      <c r="F41" s="33"/>
    </row>
    <row r="42" spans="2:6" ht="15.95" customHeight="1" outlineLevel="1" x14ac:dyDescent="0.2">
      <c r="C42" s="51" t="s">
        <v>24</v>
      </c>
      <c r="D42" s="32"/>
      <c r="E42" s="36">
        <f>Tabella2913[[#Totals],[Costo Totale]]</f>
        <v>0</v>
      </c>
      <c r="F42" s="36">
        <f>Tabella2913[[#Totals],[Vendita]]</f>
        <v>0</v>
      </c>
    </row>
    <row r="43" spans="2:6" ht="15.95" customHeight="1" outlineLevel="1" x14ac:dyDescent="0.2">
      <c r="B43" s="52"/>
      <c r="C43" s="53" t="s">
        <v>26</v>
      </c>
      <c r="D43" s="54"/>
      <c r="E43" s="37">
        <f>Tabella11417[[#Totals],[Totale]]</f>
        <v>600</v>
      </c>
      <c r="F43" s="37">
        <f>Tabella11417[[#Totals],[Vendita]]</f>
        <v>900</v>
      </c>
    </row>
    <row r="44" spans="2:6" ht="15.95" customHeight="1" outlineLevel="1" x14ac:dyDescent="0.2">
      <c r="B44" s="35"/>
      <c r="C44" s="38" t="s">
        <v>28</v>
      </c>
      <c r="D44" s="39"/>
      <c r="E44" s="40">
        <f>SUM(E42:E43)</f>
        <v>600</v>
      </c>
      <c r="F44" s="40">
        <f>SUM(F42:F43)</f>
        <v>900</v>
      </c>
    </row>
    <row r="47" spans="2:6" ht="17.25" thickBot="1" x14ac:dyDescent="0.25"/>
    <row r="48" spans="2:6" ht="26.25" customHeight="1" thickBot="1" x14ac:dyDescent="0.25">
      <c r="D48" s="49" t="s">
        <v>37</v>
      </c>
      <c r="E48" s="49" t="s">
        <v>27</v>
      </c>
      <c r="F48" s="50" t="s">
        <v>28</v>
      </c>
    </row>
    <row r="49" spans="2:6" ht="30" customHeight="1" thickBot="1" x14ac:dyDescent="0.25">
      <c r="B49" s="141" t="s">
        <v>31</v>
      </c>
      <c r="C49" s="142"/>
      <c r="D49" s="98">
        <f>F49-E49</f>
        <v>300</v>
      </c>
      <c r="E49" s="47">
        <f>E12+E20+E28+E36+E44</f>
        <v>600</v>
      </c>
      <c r="F49" s="48">
        <f>F12+F20+F28+F36+F44</f>
        <v>900</v>
      </c>
    </row>
  </sheetData>
  <mergeCells count="9">
    <mergeCell ref="B49:C49"/>
    <mergeCell ref="B30:F30"/>
    <mergeCell ref="B38:F38"/>
    <mergeCell ref="B2:F2"/>
    <mergeCell ref="B3:E3"/>
    <mergeCell ref="B4:E4"/>
    <mergeCell ref="B6:F6"/>
    <mergeCell ref="B14:F14"/>
    <mergeCell ref="B22:F22"/>
  </mergeCells>
  <pageMargins left="0.54" right="0.19685039370078741" top="1.5748031496062993" bottom="1.1417322834645669" header="0" footer="0"/>
  <pageSetup paperSize="9" scale="83" fitToHeight="0" orientation="portrait" r:id="rId1"/>
  <headerFooter scaleWithDoc="0">
    <oddHeader>&amp;C&amp;G</oddHeader>
    <oddFooter>&amp;C&amp;G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>
    <pageSetUpPr fitToPage="1"/>
  </sheetPr>
  <dimension ref="B1:T159"/>
  <sheetViews>
    <sheetView zoomScale="70" zoomScaleNormal="70" workbookViewId="0">
      <selection activeCell="G23" sqref="G23"/>
    </sheetView>
  </sheetViews>
  <sheetFormatPr defaultRowHeight="14.25" x14ac:dyDescent="0.25"/>
  <cols>
    <col min="1" max="1" width="5.85546875" style="1" customWidth="1"/>
    <col min="2" max="2" width="23" style="1" bestFit="1" customWidth="1"/>
    <col min="3" max="3" width="25.7109375" style="1" bestFit="1" customWidth="1"/>
    <col min="4" max="4" width="44.7109375" style="1" bestFit="1" customWidth="1"/>
    <col min="5" max="5" width="10.5703125" style="2" bestFit="1" customWidth="1"/>
    <col min="6" max="6" width="11.5703125" style="3" bestFit="1" customWidth="1"/>
    <col min="7" max="7" width="16.7109375" style="1" bestFit="1" customWidth="1"/>
    <col min="8" max="8" width="15.7109375" style="1" customWidth="1"/>
    <col min="9" max="9" width="11.7109375" style="1" customWidth="1"/>
    <col min="10" max="10" width="16.42578125" style="1" bestFit="1" customWidth="1"/>
    <col min="11" max="11" width="1.5703125" style="1" customWidth="1"/>
    <col min="12" max="12" width="12" style="1" bestFit="1" customWidth="1"/>
    <col min="13" max="13" width="36.7109375" style="1" bestFit="1" customWidth="1"/>
    <col min="14" max="14" width="17.42578125" style="1" bestFit="1" customWidth="1"/>
    <col min="15" max="15" width="17.140625" style="1" bestFit="1" customWidth="1"/>
    <col min="16" max="16" width="16.7109375" style="1" bestFit="1" customWidth="1"/>
    <col min="17" max="17" width="15.28515625" style="1" bestFit="1" customWidth="1"/>
    <col min="18" max="19" width="14.85546875" style="1" bestFit="1" customWidth="1"/>
    <col min="20" max="215" width="9.140625" style="1"/>
    <col min="216" max="216" width="11.42578125" style="1" customWidth="1"/>
    <col min="217" max="217" width="25.140625" style="1" customWidth="1"/>
    <col min="218" max="218" width="42.7109375" style="1" customWidth="1"/>
    <col min="219" max="219" width="9.28515625" style="1" customWidth="1"/>
    <col min="220" max="220" width="13.85546875" style="1" customWidth="1"/>
    <col min="221" max="221" width="10.42578125" style="1" customWidth="1"/>
    <col min="222" max="222" width="16.7109375" style="1" customWidth="1"/>
    <col min="223" max="223" width="16.28515625" style="1" customWidth="1"/>
    <col min="224" max="224" width="14.42578125" style="1" customWidth="1"/>
    <col min="225" max="225" width="14.85546875" style="1" customWidth="1"/>
    <col min="226" max="226" width="13" style="1" customWidth="1"/>
    <col min="227" max="227" width="18.7109375" style="1" customWidth="1"/>
    <col min="228" max="228" width="6" style="1" customWidth="1"/>
    <col min="229" max="229" width="15.28515625" style="1" customWidth="1"/>
    <col min="230" max="230" width="28" style="1" customWidth="1"/>
    <col min="231" max="231" width="13.5703125" style="1" customWidth="1"/>
    <col min="232" max="232" width="15.5703125" style="1" customWidth="1"/>
    <col min="233" max="233" width="8.85546875" style="1" customWidth="1"/>
    <col min="234" max="234" width="15.28515625" style="1" customWidth="1"/>
    <col min="235" max="235" width="15.7109375" style="1" customWidth="1"/>
    <col min="236" max="238" width="17.140625" style="1" customWidth="1"/>
    <col min="239" max="239" width="35.7109375" style="1" customWidth="1"/>
    <col min="240" max="240" width="28.5703125" style="1" customWidth="1"/>
    <col min="241" max="241" width="17.140625" style="1" customWidth="1"/>
    <col min="242" max="242" width="28.5703125" style="1" customWidth="1"/>
    <col min="243" max="471" width="9.140625" style="1"/>
    <col min="472" max="472" width="11.42578125" style="1" customWidth="1"/>
    <col min="473" max="473" width="25.140625" style="1" customWidth="1"/>
    <col min="474" max="474" width="42.7109375" style="1" customWidth="1"/>
    <col min="475" max="475" width="9.28515625" style="1" customWidth="1"/>
    <col min="476" max="476" width="13.85546875" style="1" customWidth="1"/>
    <col min="477" max="477" width="10.42578125" style="1" customWidth="1"/>
    <col min="478" max="478" width="16.7109375" style="1" customWidth="1"/>
    <col min="479" max="479" width="16.28515625" style="1" customWidth="1"/>
    <col min="480" max="480" width="14.42578125" style="1" customWidth="1"/>
    <col min="481" max="481" width="14.85546875" style="1" customWidth="1"/>
    <col min="482" max="482" width="13" style="1" customWidth="1"/>
    <col min="483" max="483" width="18.7109375" style="1" customWidth="1"/>
    <col min="484" max="484" width="6" style="1" customWidth="1"/>
    <col min="485" max="485" width="15.28515625" style="1" customWidth="1"/>
    <col min="486" max="486" width="28" style="1" customWidth="1"/>
    <col min="487" max="487" width="13.5703125" style="1" customWidth="1"/>
    <col min="488" max="488" width="15.5703125" style="1" customWidth="1"/>
    <col min="489" max="489" width="8.85546875" style="1" customWidth="1"/>
    <col min="490" max="490" width="15.28515625" style="1" customWidth="1"/>
    <col min="491" max="491" width="15.7109375" style="1" customWidth="1"/>
    <col min="492" max="494" width="17.140625" style="1" customWidth="1"/>
    <col min="495" max="495" width="35.7109375" style="1" customWidth="1"/>
    <col min="496" max="496" width="28.5703125" style="1" customWidth="1"/>
    <col min="497" max="497" width="17.140625" style="1" customWidth="1"/>
    <col min="498" max="498" width="28.5703125" style="1" customWidth="1"/>
    <col min="499" max="727" width="9.140625" style="1"/>
    <col min="728" max="728" width="11.42578125" style="1" customWidth="1"/>
    <col min="729" max="729" width="25.140625" style="1" customWidth="1"/>
    <col min="730" max="730" width="42.7109375" style="1" customWidth="1"/>
    <col min="731" max="731" width="9.28515625" style="1" customWidth="1"/>
    <col min="732" max="732" width="13.85546875" style="1" customWidth="1"/>
    <col min="733" max="733" width="10.42578125" style="1" customWidth="1"/>
    <col min="734" max="734" width="16.7109375" style="1" customWidth="1"/>
    <col min="735" max="735" width="16.28515625" style="1" customWidth="1"/>
    <col min="736" max="736" width="14.42578125" style="1" customWidth="1"/>
    <col min="737" max="737" width="14.85546875" style="1" customWidth="1"/>
    <col min="738" max="738" width="13" style="1" customWidth="1"/>
    <col min="739" max="739" width="18.7109375" style="1" customWidth="1"/>
    <col min="740" max="740" width="6" style="1" customWidth="1"/>
    <col min="741" max="741" width="15.28515625" style="1" customWidth="1"/>
    <col min="742" max="742" width="28" style="1" customWidth="1"/>
    <col min="743" max="743" width="13.5703125" style="1" customWidth="1"/>
    <col min="744" max="744" width="15.5703125" style="1" customWidth="1"/>
    <col min="745" max="745" width="8.85546875" style="1" customWidth="1"/>
    <col min="746" max="746" width="15.28515625" style="1" customWidth="1"/>
    <col min="747" max="747" width="15.7109375" style="1" customWidth="1"/>
    <col min="748" max="750" width="17.140625" style="1" customWidth="1"/>
    <col min="751" max="751" width="35.7109375" style="1" customWidth="1"/>
    <col min="752" max="752" width="28.5703125" style="1" customWidth="1"/>
    <col min="753" max="753" width="17.140625" style="1" customWidth="1"/>
    <col min="754" max="754" width="28.5703125" style="1" customWidth="1"/>
    <col min="755" max="983" width="9.140625" style="1"/>
    <col min="984" max="984" width="11.42578125" style="1" customWidth="1"/>
    <col min="985" max="985" width="25.140625" style="1" customWidth="1"/>
    <col min="986" max="986" width="42.7109375" style="1" customWidth="1"/>
    <col min="987" max="987" width="9.28515625" style="1" customWidth="1"/>
    <col min="988" max="988" width="13.85546875" style="1" customWidth="1"/>
    <col min="989" max="989" width="10.42578125" style="1" customWidth="1"/>
    <col min="990" max="990" width="16.7109375" style="1" customWidth="1"/>
    <col min="991" max="991" width="16.28515625" style="1" customWidth="1"/>
    <col min="992" max="992" width="14.42578125" style="1" customWidth="1"/>
    <col min="993" max="993" width="14.85546875" style="1" customWidth="1"/>
    <col min="994" max="994" width="13" style="1" customWidth="1"/>
    <col min="995" max="995" width="18.7109375" style="1" customWidth="1"/>
    <col min="996" max="996" width="6" style="1" customWidth="1"/>
    <col min="997" max="997" width="15.28515625" style="1" customWidth="1"/>
    <col min="998" max="998" width="28" style="1" customWidth="1"/>
    <col min="999" max="999" width="13.5703125" style="1" customWidth="1"/>
    <col min="1000" max="1000" width="15.5703125" style="1" customWidth="1"/>
    <col min="1001" max="1001" width="8.85546875" style="1" customWidth="1"/>
    <col min="1002" max="1002" width="15.28515625" style="1" customWidth="1"/>
    <col min="1003" max="1003" width="15.7109375" style="1" customWidth="1"/>
    <col min="1004" max="1006" width="17.140625" style="1" customWidth="1"/>
    <col min="1007" max="1007" width="35.7109375" style="1" customWidth="1"/>
    <col min="1008" max="1008" width="28.5703125" style="1" customWidth="1"/>
    <col min="1009" max="1009" width="17.140625" style="1" customWidth="1"/>
    <col min="1010" max="1010" width="28.5703125" style="1" customWidth="1"/>
    <col min="1011" max="1239" width="9.140625" style="1"/>
    <col min="1240" max="1240" width="11.42578125" style="1" customWidth="1"/>
    <col min="1241" max="1241" width="25.140625" style="1" customWidth="1"/>
    <col min="1242" max="1242" width="42.7109375" style="1" customWidth="1"/>
    <col min="1243" max="1243" width="9.28515625" style="1" customWidth="1"/>
    <col min="1244" max="1244" width="13.85546875" style="1" customWidth="1"/>
    <col min="1245" max="1245" width="10.42578125" style="1" customWidth="1"/>
    <col min="1246" max="1246" width="16.7109375" style="1" customWidth="1"/>
    <col min="1247" max="1247" width="16.28515625" style="1" customWidth="1"/>
    <col min="1248" max="1248" width="14.42578125" style="1" customWidth="1"/>
    <col min="1249" max="1249" width="14.85546875" style="1" customWidth="1"/>
    <col min="1250" max="1250" width="13" style="1" customWidth="1"/>
    <col min="1251" max="1251" width="18.7109375" style="1" customWidth="1"/>
    <col min="1252" max="1252" width="6" style="1" customWidth="1"/>
    <col min="1253" max="1253" width="15.28515625" style="1" customWidth="1"/>
    <col min="1254" max="1254" width="28" style="1" customWidth="1"/>
    <col min="1255" max="1255" width="13.5703125" style="1" customWidth="1"/>
    <col min="1256" max="1256" width="15.5703125" style="1" customWidth="1"/>
    <col min="1257" max="1257" width="8.85546875" style="1" customWidth="1"/>
    <col min="1258" max="1258" width="15.28515625" style="1" customWidth="1"/>
    <col min="1259" max="1259" width="15.7109375" style="1" customWidth="1"/>
    <col min="1260" max="1262" width="17.140625" style="1" customWidth="1"/>
    <col min="1263" max="1263" width="35.7109375" style="1" customWidth="1"/>
    <col min="1264" max="1264" width="28.5703125" style="1" customWidth="1"/>
    <col min="1265" max="1265" width="17.140625" style="1" customWidth="1"/>
    <col min="1266" max="1266" width="28.5703125" style="1" customWidth="1"/>
    <col min="1267" max="1495" width="9.140625" style="1"/>
    <col min="1496" max="1496" width="11.42578125" style="1" customWidth="1"/>
    <col min="1497" max="1497" width="25.140625" style="1" customWidth="1"/>
    <col min="1498" max="1498" width="42.7109375" style="1" customWidth="1"/>
    <col min="1499" max="1499" width="9.28515625" style="1" customWidth="1"/>
    <col min="1500" max="1500" width="13.85546875" style="1" customWidth="1"/>
    <col min="1501" max="1501" width="10.42578125" style="1" customWidth="1"/>
    <col min="1502" max="1502" width="16.7109375" style="1" customWidth="1"/>
    <col min="1503" max="1503" width="16.28515625" style="1" customWidth="1"/>
    <col min="1504" max="1504" width="14.42578125" style="1" customWidth="1"/>
    <col min="1505" max="1505" width="14.85546875" style="1" customWidth="1"/>
    <col min="1506" max="1506" width="13" style="1" customWidth="1"/>
    <col min="1507" max="1507" width="18.7109375" style="1" customWidth="1"/>
    <col min="1508" max="1508" width="6" style="1" customWidth="1"/>
    <col min="1509" max="1509" width="15.28515625" style="1" customWidth="1"/>
    <col min="1510" max="1510" width="28" style="1" customWidth="1"/>
    <col min="1511" max="1511" width="13.5703125" style="1" customWidth="1"/>
    <col min="1512" max="1512" width="15.5703125" style="1" customWidth="1"/>
    <col min="1513" max="1513" width="8.85546875" style="1" customWidth="1"/>
    <col min="1514" max="1514" width="15.28515625" style="1" customWidth="1"/>
    <col min="1515" max="1515" width="15.7109375" style="1" customWidth="1"/>
    <col min="1516" max="1518" width="17.140625" style="1" customWidth="1"/>
    <col min="1519" max="1519" width="35.7109375" style="1" customWidth="1"/>
    <col min="1520" max="1520" width="28.5703125" style="1" customWidth="1"/>
    <col min="1521" max="1521" width="17.140625" style="1" customWidth="1"/>
    <col min="1522" max="1522" width="28.5703125" style="1" customWidth="1"/>
    <col min="1523" max="1751" width="9.140625" style="1"/>
    <col min="1752" max="1752" width="11.42578125" style="1" customWidth="1"/>
    <col min="1753" max="1753" width="25.140625" style="1" customWidth="1"/>
    <col min="1754" max="1754" width="42.7109375" style="1" customWidth="1"/>
    <col min="1755" max="1755" width="9.28515625" style="1" customWidth="1"/>
    <col min="1756" max="1756" width="13.85546875" style="1" customWidth="1"/>
    <col min="1757" max="1757" width="10.42578125" style="1" customWidth="1"/>
    <col min="1758" max="1758" width="16.7109375" style="1" customWidth="1"/>
    <col min="1759" max="1759" width="16.28515625" style="1" customWidth="1"/>
    <col min="1760" max="1760" width="14.42578125" style="1" customWidth="1"/>
    <col min="1761" max="1761" width="14.85546875" style="1" customWidth="1"/>
    <col min="1762" max="1762" width="13" style="1" customWidth="1"/>
    <col min="1763" max="1763" width="18.7109375" style="1" customWidth="1"/>
    <col min="1764" max="1764" width="6" style="1" customWidth="1"/>
    <col min="1765" max="1765" width="15.28515625" style="1" customWidth="1"/>
    <col min="1766" max="1766" width="28" style="1" customWidth="1"/>
    <col min="1767" max="1767" width="13.5703125" style="1" customWidth="1"/>
    <col min="1768" max="1768" width="15.5703125" style="1" customWidth="1"/>
    <col min="1769" max="1769" width="8.85546875" style="1" customWidth="1"/>
    <col min="1770" max="1770" width="15.28515625" style="1" customWidth="1"/>
    <col min="1771" max="1771" width="15.7109375" style="1" customWidth="1"/>
    <col min="1772" max="1774" width="17.140625" style="1" customWidth="1"/>
    <col min="1775" max="1775" width="35.7109375" style="1" customWidth="1"/>
    <col min="1776" max="1776" width="28.5703125" style="1" customWidth="1"/>
    <col min="1777" max="1777" width="17.140625" style="1" customWidth="1"/>
    <col min="1778" max="1778" width="28.5703125" style="1" customWidth="1"/>
    <col min="1779" max="2007" width="9.140625" style="1"/>
    <col min="2008" max="2008" width="11.42578125" style="1" customWidth="1"/>
    <col min="2009" max="2009" width="25.140625" style="1" customWidth="1"/>
    <col min="2010" max="2010" width="42.7109375" style="1" customWidth="1"/>
    <col min="2011" max="2011" width="9.28515625" style="1" customWidth="1"/>
    <col min="2012" max="2012" width="13.85546875" style="1" customWidth="1"/>
    <col min="2013" max="2013" width="10.42578125" style="1" customWidth="1"/>
    <col min="2014" max="2014" width="16.7109375" style="1" customWidth="1"/>
    <col min="2015" max="2015" width="16.28515625" style="1" customWidth="1"/>
    <col min="2016" max="2016" width="14.42578125" style="1" customWidth="1"/>
    <col min="2017" max="2017" width="14.85546875" style="1" customWidth="1"/>
    <col min="2018" max="2018" width="13" style="1" customWidth="1"/>
    <col min="2019" max="2019" width="18.7109375" style="1" customWidth="1"/>
    <col min="2020" max="2020" width="6" style="1" customWidth="1"/>
    <col min="2021" max="2021" width="15.28515625" style="1" customWidth="1"/>
    <col min="2022" max="2022" width="28" style="1" customWidth="1"/>
    <col min="2023" max="2023" width="13.5703125" style="1" customWidth="1"/>
    <col min="2024" max="2024" width="15.5703125" style="1" customWidth="1"/>
    <col min="2025" max="2025" width="8.85546875" style="1" customWidth="1"/>
    <col min="2026" max="2026" width="15.28515625" style="1" customWidth="1"/>
    <col min="2027" max="2027" width="15.7109375" style="1" customWidth="1"/>
    <col min="2028" max="2030" width="17.140625" style="1" customWidth="1"/>
    <col min="2031" max="2031" width="35.7109375" style="1" customWidth="1"/>
    <col min="2032" max="2032" width="28.5703125" style="1" customWidth="1"/>
    <col min="2033" max="2033" width="17.140625" style="1" customWidth="1"/>
    <col min="2034" max="2034" width="28.5703125" style="1" customWidth="1"/>
    <col min="2035" max="2263" width="9.140625" style="1"/>
    <col min="2264" max="2264" width="11.42578125" style="1" customWidth="1"/>
    <col min="2265" max="2265" width="25.140625" style="1" customWidth="1"/>
    <col min="2266" max="2266" width="42.7109375" style="1" customWidth="1"/>
    <col min="2267" max="2267" width="9.28515625" style="1" customWidth="1"/>
    <col min="2268" max="2268" width="13.85546875" style="1" customWidth="1"/>
    <col min="2269" max="2269" width="10.42578125" style="1" customWidth="1"/>
    <col min="2270" max="2270" width="16.7109375" style="1" customWidth="1"/>
    <col min="2271" max="2271" width="16.28515625" style="1" customWidth="1"/>
    <col min="2272" max="2272" width="14.42578125" style="1" customWidth="1"/>
    <col min="2273" max="2273" width="14.85546875" style="1" customWidth="1"/>
    <col min="2274" max="2274" width="13" style="1" customWidth="1"/>
    <col min="2275" max="2275" width="18.7109375" style="1" customWidth="1"/>
    <col min="2276" max="2276" width="6" style="1" customWidth="1"/>
    <col min="2277" max="2277" width="15.28515625" style="1" customWidth="1"/>
    <col min="2278" max="2278" width="28" style="1" customWidth="1"/>
    <col min="2279" max="2279" width="13.5703125" style="1" customWidth="1"/>
    <col min="2280" max="2280" width="15.5703125" style="1" customWidth="1"/>
    <col min="2281" max="2281" width="8.85546875" style="1" customWidth="1"/>
    <col min="2282" max="2282" width="15.28515625" style="1" customWidth="1"/>
    <col min="2283" max="2283" width="15.7109375" style="1" customWidth="1"/>
    <col min="2284" max="2286" width="17.140625" style="1" customWidth="1"/>
    <col min="2287" max="2287" width="35.7109375" style="1" customWidth="1"/>
    <col min="2288" max="2288" width="28.5703125" style="1" customWidth="1"/>
    <col min="2289" max="2289" width="17.140625" style="1" customWidth="1"/>
    <col min="2290" max="2290" width="28.5703125" style="1" customWidth="1"/>
    <col min="2291" max="2519" width="9.140625" style="1"/>
    <col min="2520" max="2520" width="11.42578125" style="1" customWidth="1"/>
    <col min="2521" max="2521" width="25.140625" style="1" customWidth="1"/>
    <col min="2522" max="2522" width="42.7109375" style="1" customWidth="1"/>
    <col min="2523" max="2523" width="9.28515625" style="1" customWidth="1"/>
    <col min="2524" max="2524" width="13.85546875" style="1" customWidth="1"/>
    <col min="2525" max="2525" width="10.42578125" style="1" customWidth="1"/>
    <col min="2526" max="2526" width="16.7109375" style="1" customWidth="1"/>
    <col min="2527" max="2527" width="16.28515625" style="1" customWidth="1"/>
    <col min="2528" max="2528" width="14.42578125" style="1" customWidth="1"/>
    <col min="2529" max="2529" width="14.85546875" style="1" customWidth="1"/>
    <col min="2530" max="2530" width="13" style="1" customWidth="1"/>
    <col min="2531" max="2531" width="18.7109375" style="1" customWidth="1"/>
    <col min="2532" max="2532" width="6" style="1" customWidth="1"/>
    <col min="2533" max="2533" width="15.28515625" style="1" customWidth="1"/>
    <col min="2534" max="2534" width="28" style="1" customWidth="1"/>
    <col min="2535" max="2535" width="13.5703125" style="1" customWidth="1"/>
    <col min="2536" max="2536" width="15.5703125" style="1" customWidth="1"/>
    <col min="2537" max="2537" width="8.85546875" style="1" customWidth="1"/>
    <col min="2538" max="2538" width="15.28515625" style="1" customWidth="1"/>
    <col min="2539" max="2539" width="15.7109375" style="1" customWidth="1"/>
    <col min="2540" max="2542" width="17.140625" style="1" customWidth="1"/>
    <col min="2543" max="2543" width="35.7109375" style="1" customWidth="1"/>
    <col min="2544" max="2544" width="28.5703125" style="1" customWidth="1"/>
    <col min="2545" max="2545" width="17.140625" style="1" customWidth="1"/>
    <col min="2546" max="2546" width="28.5703125" style="1" customWidth="1"/>
    <col min="2547" max="2775" width="9.140625" style="1"/>
    <col min="2776" max="2776" width="11.42578125" style="1" customWidth="1"/>
    <col min="2777" max="2777" width="25.140625" style="1" customWidth="1"/>
    <col min="2778" max="2778" width="42.7109375" style="1" customWidth="1"/>
    <col min="2779" max="2779" width="9.28515625" style="1" customWidth="1"/>
    <col min="2780" max="2780" width="13.85546875" style="1" customWidth="1"/>
    <col min="2781" max="2781" width="10.42578125" style="1" customWidth="1"/>
    <col min="2782" max="2782" width="16.7109375" style="1" customWidth="1"/>
    <col min="2783" max="2783" width="16.28515625" style="1" customWidth="1"/>
    <col min="2784" max="2784" width="14.42578125" style="1" customWidth="1"/>
    <col min="2785" max="2785" width="14.85546875" style="1" customWidth="1"/>
    <col min="2786" max="2786" width="13" style="1" customWidth="1"/>
    <col min="2787" max="2787" width="18.7109375" style="1" customWidth="1"/>
    <col min="2788" max="2788" width="6" style="1" customWidth="1"/>
    <col min="2789" max="2789" width="15.28515625" style="1" customWidth="1"/>
    <col min="2790" max="2790" width="28" style="1" customWidth="1"/>
    <col min="2791" max="2791" width="13.5703125" style="1" customWidth="1"/>
    <col min="2792" max="2792" width="15.5703125" style="1" customWidth="1"/>
    <col min="2793" max="2793" width="8.85546875" style="1" customWidth="1"/>
    <col min="2794" max="2794" width="15.28515625" style="1" customWidth="1"/>
    <col min="2795" max="2795" width="15.7109375" style="1" customWidth="1"/>
    <col min="2796" max="2798" width="17.140625" style="1" customWidth="1"/>
    <col min="2799" max="2799" width="35.7109375" style="1" customWidth="1"/>
    <col min="2800" max="2800" width="28.5703125" style="1" customWidth="1"/>
    <col min="2801" max="2801" width="17.140625" style="1" customWidth="1"/>
    <col min="2802" max="2802" width="28.5703125" style="1" customWidth="1"/>
    <col min="2803" max="3031" width="9.140625" style="1"/>
    <col min="3032" max="3032" width="11.42578125" style="1" customWidth="1"/>
    <col min="3033" max="3033" width="25.140625" style="1" customWidth="1"/>
    <col min="3034" max="3034" width="42.7109375" style="1" customWidth="1"/>
    <col min="3035" max="3035" width="9.28515625" style="1" customWidth="1"/>
    <col min="3036" max="3036" width="13.85546875" style="1" customWidth="1"/>
    <col min="3037" max="3037" width="10.42578125" style="1" customWidth="1"/>
    <col min="3038" max="3038" width="16.7109375" style="1" customWidth="1"/>
    <col min="3039" max="3039" width="16.28515625" style="1" customWidth="1"/>
    <col min="3040" max="3040" width="14.42578125" style="1" customWidth="1"/>
    <col min="3041" max="3041" width="14.85546875" style="1" customWidth="1"/>
    <col min="3042" max="3042" width="13" style="1" customWidth="1"/>
    <col min="3043" max="3043" width="18.7109375" style="1" customWidth="1"/>
    <col min="3044" max="3044" width="6" style="1" customWidth="1"/>
    <col min="3045" max="3045" width="15.28515625" style="1" customWidth="1"/>
    <col min="3046" max="3046" width="28" style="1" customWidth="1"/>
    <col min="3047" max="3047" width="13.5703125" style="1" customWidth="1"/>
    <col min="3048" max="3048" width="15.5703125" style="1" customWidth="1"/>
    <col min="3049" max="3049" width="8.85546875" style="1" customWidth="1"/>
    <col min="3050" max="3050" width="15.28515625" style="1" customWidth="1"/>
    <col min="3051" max="3051" width="15.7109375" style="1" customWidth="1"/>
    <col min="3052" max="3054" width="17.140625" style="1" customWidth="1"/>
    <col min="3055" max="3055" width="35.7109375" style="1" customWidth="1"/>
    <col min="3056" max="3056" width="28.5703125" style="1" customWidth="1"/>
    <col min="3057" max="3057" width="17.140625" style="1" customWidth="1"/>
    <col min="3058" max="3058" width="28.5703125" style="1" customWidth="1"/>
    <col min="3059" max="3287" width="9.140625" style="1"/>
    <col min="3288" max="3288" width="11.42578125" style="1" customWidth="1"/>
    <col min="3289" max="3289" width="25.140625" style="1" customWidth="1"/>
    <col min="3290" max="3290" width="42.7109375" style="1" customWidth="1"/>
    <col min="3291" max="3291" width="9.28515625" style="1" customWidth="1"/>
    <col min="3292" max="3292" width="13.85546875" style="1" customWidth="1"/>
    <col min="3293" max="3293" width="10.42578125" style="1" customWidth="1"/>
    <col min="3294" max="3294" width="16.7109375" style="1" customWidth="1"/>
    <col min="3295" max="3295" width="16.28515625" style="1" customWidth="1"/>
    <col min="3296" max="3296" width="14.42578125" style="1" customWidth="1"/>
    <col min="3297" max="3297" width="14.85546875" style="1" customWidth="1"/>
    <col min="3298" max="3298" width="13" style="1" customWidth="1"/>
    <col min="3299" max="3299" width="18.7109375" style="1" customWidth="1"/>
    <col min="3300" max="3300" width="6" style="1" customWidth="1"/>
    <col min="3301" max="3301" width="15.28515625" style="1" customWidth="1"/>
    <col min="3302" max="3302" width="28" style="1" customWidth="1"/>
    <col min="3303" max="3303" width="13.5703125" style="1" customWidth="1"/>
    <col min="3304" max="3304" width="15.5703125" style="1" customWidth="1"/>
    <col min="3305" max="3305" width="8.85546875" style="1" customWidth="1"/>
    <col min="3306" max="3306" width="15.28515625" style="1" customWidth="1"/>
    <col min="3307" max="3307" width="15.7109375" style="1" customWidth="1"/>
    <col min="3308" max="3310" width="17.140625" style="1" customWidth="1"/>
    <col min="3311" max="3311" width="35.7109375" style="1" customWidth="1"/>
    <col min="3312" max="3312" width="28.5703125" style="1" customWidth="1"/>
    <col min="3313" max="3313" width="17.140625" style="1" customWidth="1"/>
    <col min="3314" max="3314" width="28.5703125" style="1" customWidth="1"/>
    <col min="3315" max="3543" width="9.140625" style="1"/>
    <col min="3544" max="3544" width="11.42578125" style="1" customWidth="1"/>
    <col min="3545" max="3545" width="25.140625" style="1" customWidth="1"/>
    <col min="3546" max="3546" width="42.7109375" style="1" customWidth="1"/>
    <col min="3547" max="3547" width="9.28515625" style="1" customWidth="1"/>
    <col min="3548" max="3548" width="13.85546875" style="1" customWidth="1"/>
    <col min="3549" max="3549" width="10.42578125" style="1" customWidth="1"/>
    <col min="3550" max="3550" width="16.7109375" style="1" customWidth="1"/>
    <col min="3551" max="3551" width="16.28515625" style="1" customWidth="1"/>
    <col min="3552" max="3552" width="14.42578125" style="1" customWidth="1"/>
    <col min="3553" max="3553" width="14.85546875" style="1" customWidth="1"/>
    <col min="3554" max="3554" width="13" style="1" customWidth="1"/>
    <col min="3555" max="3555" width="18.7109375" style="1" customWidth="1"/>
    <col min="3556" max="3556" width="6" style="1" customWidth="1"/>
    <col min="3557" max="3557" width="15.28515625" style="1" customWidth="1"/>
    <col min="3558" max="3558" width="28" style="1" customWidth="1"/>
    <col min="3559" max="3559" width="13.5703125" style="1" customWidth="1"/>
    <col min="3560" max="3560" width="15.5703125" style="1" customWidth="1"/>
    <col min="3561" max="3561" width="8.85546875" style="1" customWidth="1"/>
    <col min="3562" max="3562" width="15.28515625" style="1" customWidth="1"/>
    <col min="3563" max="3563" width="15.7109375" style="1" customWidth="1"/>
    <col min="3564" max="3566" width="17.140625" style="1" customWidth="1"/>
    <col min="3567" max="3567" width="35.7109375" style="1" customWidth="1"/>
    <col min="3568" max="3568" width="28.5703125" style="1" customWidth="1"/>
    <col min="3569" max="3569" width="17.140625" style="1" customWidth="1"/>
    <col min="3570" max="3570" width="28.5703125" style="1" customWidth="1"/>
    <col min="3571" max="3799" width="9.140625" style="1"/>
    <col min="3800" max="3800" width="11.42578125" style="1" customWidth="1"/>
    <col min="3801" max="3801" width="25.140625" style="1" customWidth="1"/>
    <col min="3802" max="3802" width="42.7109375" style="1" customWidth="1"/>
    <col min="3803" max="3803" width="9.28515625" style="1" customWidth="1"/>
    <col min="3804" max="3804" width="13.85546875" style="1" customWidth="1"/>
    <col min="3805" max="3805" width="10.42578125" style="1" customWidth="1"/>
    <col min="3806" max="3806" width="16.7109375" style="1" customWidth="1"/>
    <col min="3807" max="3807" width="16.28515625" style="1" customWidth="1"/>
    <col min="3808" max="3808" width="14.42578125" style="1" customWidth="1"/>
    <col min="3809" max="3809" width="14.85546875" style="1" customWidth="1"/>
    <col min="3810" max="3810" width="13" style="1" customWidth="1"/>
    <col min="3811" max="3811" width="18.7109375" style="1" customWidth="1"/>
    <col min="3812" max="3812" width="6" style="1" customWidth="1"/>
    <col min="3813" max="3813" width="15.28515625" style="1" customWidth="1"/>
    <col min="3814" max="3814" width="28" style="1" customWidth="1"/>
    <col min="3815" max="3815" width="13.5703125" style="1" customWidth="1"/>
    <col min="3816" max="3816" width="15.5703125" style="1" customWidth="1"/>
    <col min="3817" max="3817" width="8.85546875" style="1" customWidth="1"/>
    <col min="3818" max="3818" width="15.28515625" style="1" customWidth="1"/>
    <col min="3819" max="3819" width="15.7109375" style="1" customWidth="1"/>
    <col min="3820" max="3822" width="17.140625" style="1" customWidth="1"/>
    <col min="3823" max="3823" width="35.7109375" style="1" customWidth="1"/>
    <col min="3824" max="3824" width="28.5703125" style="1" customWidth="1"/>
    <col min="3825" max="3825" width="17.140625" style="1" customWidth="1"/>
    <col min="3826" max="3826" width="28.5703125" style="1" customWidth="1"/>
    <col min="3827" max="4055" width="9.140625" style="1"/>
    <col min="4056" max="4056" width="11.42578125" style="1" customWidth="1"/>
    <col min="4057" max="4057" width="25.140625" style="1" customWidth="1"/>
    <col min="4058" max="4058" width="42.7109375" style="1" customWidth="1"/>
    <col min="4059" max="4059" width="9.28515625" style="1" customWidth="1"/>
    <col min="4060" max="4060" width="13.85546875" style="1" customWidth="1"/>
    <col min="4061" max="4061" width="10.42578125" style="1" customWidth="1"/>
    <col min="4062" max="4062" width="16.7109375" style="1" customWidth="1"/>
    <col min="4063" max="4063" width="16.28515625" style="1" customWidth="1"/>
    <col min="4064" max="4064" width="14.42578125" style="1" customWidth="1"/>
    <col min="4065" max="4065" width="14.85546875" style="1" customWidth="1"/>
    <col min="4066" max="4066" width="13" style="1" customWidth="1"/>
    <col min="4067" max="4067" width="18.7109375" style="1" customWidth="1"/>
    <col min="4068" max="4068" width="6" style="1" customWidth="1"/>
    <col min="4069" max="4069" width="15.28515625" style="1" customWidth="1"/>
    <col min="4070" max="4070" width="28" style="1" customWidth="1"/>
    <col min="4071" max="4071" width="13.5703125" style="1" customWidth="1"/>
    <col min="4072" max="4072" width="15.5703125" style="1" customWidth="1"/>
    <col min="4073" max="4073" width="8.85546875" style="1" customWidth="1"/>
    <col min="4074" max="4074" width="15.28515625" style="1" customWidth="1"/>
    <col min="4075" max="4075" width="15.7109375" style="1" customWidth="1"/>
    <col min="4076" max="4078" width="17.140625" style="1" customWidth="1"/>
    <col min="4079" max="4079" width="35.7109375" style="1" customWidth="1"/>
    <col min="4080" max="4080" width="28.5703125" style="1" customWidth="1"/>
    <col min="4081" max="4081" width="17.140625" style="1" customWidth="1"/>
    <col min="4082" max="4082" width="28.5703125" style="1" customWidth="1"/>
    <col min="4083" max="4311" width="9.140625" style="1"/>
    <col min="4312" max="4312" width="11.42578125" style="1" customWidth="1"/>
    <col min="4313" max="4313" width="25.140625" style="1" customWidth="1"/>
    <col min="4314" max="4314" width="42.7109375" style="1" customWidth="1"/>
    <col min="4315" max="4315" width="9.28515625" style="1" customWidth="1"/>
    <col min="4316" max="4316" width="13.85546875" style="1" customWidth="1"/>
    <col min="4317" max="4317" width="10.42578125" style="1" customWidth="1"/>
    <col min="4318" max="4318" width="16.7109375" style="1" customWidth="1"/>
    <col min="4319" max="4319" width="16.28515625" style="1" customWidth="1"/>
    <col min="4320" max="4320" width="14.42578125" style="1" customWidth="1"/>
    <col min="4321" max="4321" width="14.85546875" style="1" customWidth="1"/>
    <col min="4322" max="4322" width="13" style="1" customWidth="1"/>
    <col min="4323" max="4323" width="18.7109375" style="1" customWidth="1"/>
    <col min="4324" max="4324" width="6" style="1" customWidth="1"/>
    <col min="4325" max="4325" width="15.28515625" style="1" customWidth="1"/>
    <col min="4326" max="4326" width="28" style="1" customWidth="1"/>
    <col min="4327" max="4327" width="13.5703125" style="1" customWidth="1"/>
    <col min="4328" max="4328" width="15.5703125" style="1" customWidth="1"/>
    <col min="4329" max="4329" width="8.85546875" style="1" customWidth="1"/>
    <col min="4330" max="4330" width="15.28515625" style="1" customWidth="1"/>
    <col min="4331" max="4331" width="15.7109375" style="1" customWidth="1"/>
    <col min="4332" max="4334" width="17.140625" style="1" customWidth="1"/>
    <col min="4335" max="4335" width="35.7109375" style="1" customWidth="1"/>
    <col min="4336" max="4336" width="28.5703125" style="1" customWidth="1"/>
    <col min="4337" max="4337" width="17.140625" style="1" customWidth="1"/>
    <col min="4338" max="4338" width="28.5703125" style="1" customWidth="1"/>
    <col min="4339" max="4567" width="9.140625" style="1"/>
    <col min="4568" max="4568" width="11.42578125" style="1" customWidth="1"/>
    <col min="4569" max="4569" width="25.140625" style="1" customWidth="1"/>
    <col min="4570" max="4570" width="42.7109375" style="1" customWidth="1"/>
    <col min="4571" max="4571" width="9.28515625" style="1" customWidth="1"/>
    <col min="4572" max="4572" width="13.85546875" style="1" customWidth="1"/>
    <col min="4573" max="4573" width="10.42578125" style="1" customWidth="1"/>
    <col min="4574" max="4574" width="16.7109375" style="1" customWidth="1"/>
    <col min="4575" max="4575" width="16.28515625" style="1" customWidth="1"/>
    <col min="4576" max="4576" width="14.42578125" style="1" customWidth="1"/>
    <col min="4577" max="4577" width="14.85546875" style="1" customWidth="1"/>
    <col min="4578" max="4578" width="13" style="1" customWidth="1"/>
    <col min="4579" max="4579" width="18.7109375" style="1" customWidth="1"/>
    <col min="4580" max="4580" width="6" style="1" customWidth="1"/>
    <col min="4581" max="4581" width="15.28515625" style="1" customWidth="1"/>
    <col min="4582" max="4582" width="28" style="1" customWidth="1"/>
    <col min="4583" max="4583" width="13.5703125" style="1" customWidth="1"/>
    <col min="4584" max="4584" width="15.5703125" style="1" customWidth="1"/>
    <col min="4585" max="4585" width="8.85546875" style="1" customWidth="1"/>
    <col min="4586" max="4586" width="15.28515625" style="1" customWidth="1"/>
    <col min="4587" max="4587" width="15.7109375" style="1" customWidth="1"/>
    <col min="4588" max="4590" width="17.140625" style="1" customWidth="1"/>
    <col min="4591" max="4591" width="35.7109375" style="1" customWidth="1"/>
    <col min="4592" max="4592" width="28.5703125" style="1" customWidth="1"/>
    <col min="4593" max="4593" width="17.140625" style="1" customWidth="1"/>
    <col min="4594" max="4594" width="28.5703125" style="1" customWidth="1"/>
    <col min="4595" max="4823" width="9.140625" style="1"/>
    <col min="4824" max="4824" width="11.42578125" style="1" customWidth="1"/>
    <col min="4825" max="4825" width="25.140625" style="1" customWidth="1"/>
    <col min="4826" max="4826" width="42.7109375" style="1" customWidth="1"/>
    <col min="4827" max="4827" width="9.28515625" style="1" customWidth="1"/>
    <col min="4828" max="4828" width="13.85546875" style="1" customWidth="1"/>
    <col min="4829" max="4829" width="10.42578125" style="1" customWidth="1"/>
    <col min="4830" max="4830" width="16.7109375" style="1" customWidth="1"/>
    <col min="4831" max="4831" width="16.28515625" style="1" customWidth="1"/>
    <col min="4832" max="4832" width="14.42578125" style="1" customWidth="1"/>
    <col min="4833" max="4833" width="14.85546875" style="1" customWidth="1"/>
    <col min="4834" max="4834" width="13" style="1" customWidth="1"/>
    <col min="4835" max="4835" width="18.7109375" style="1" customWidth="1"/>
    <col min="4836" max="4836" width="6" style="1" customWidth="1"/>
    <col min="4837" max="4837" width="15.28515625" style="1" customWidth="1"/>
    <col min="4838" max="4838" width="28" style="1" customWidth="1"/>
    <col min="4839" max="4839" width="13.5703125" style="1" customWidth="1"/>
    <col min="4840" max="4840" width="15.5703125" style="1" customWidth="1"/>
    <col min="4841" max="4841" width="8.85546875" style="1" customWidth="1"/>
    <col min="4842" max="4842" width="15.28515625" style="1" customWidth="1"/>
    <col min="4843" max="4843" width="15.7109375" style="1" customWidth="1"/>
    <col min="4844" max="4846" width="17.140625" style="1" customWidth="1"/>
    <col min="4847" max="4847" width="35.7109375" style="1" customWidth="1"/>
    <col min="4848" max="4848" width="28.5703125" style="1" customWidth="1"/>
    <col min="4849" max="4849" width="17.140625" style="1" customWidth="1"/>
    <col min="4850" max="4850" width="28.5703125" style="1" customWidth="1"/>
    <col min="4851" max="5079" width="9.140625" style="1"/>
    <col min="5080" max="5080" width="11.42578125" style="1" customWidth="1"/>
    <col min="5081" max="5081" width="25.140625" style="1" customWidth="1"/>
    <col min="5082" max="5082" width="42.7109375" style="1" customWidth="1"/>
    <col min="5083" max="5083" width="9.28515625" style="1" customWidth="1"/>
    <col min="5084" max="5084" width="13.85546875" style="1" customWidth="1"/>
    <col min="5085" max="5085" width="10.42578125" style="1" customWidth="1"/>
    <col min="5086" max="5086" width="16.7109375" style="1" customWidth="1"/>
    <col min="5087" max="5087" width="16.28515625" style="1" customWidth="1"/>
    <col min="5088" max="5088" width="14.42578125" style="1" customWidth="1"/>
    <col min="5089" max="5089" width="14.85546875" style="1" customWidth="1"/>
    <col min="5090" max="5090" width="13" style="1" customWidth="1"/>
    <col min="5091" max="5091" width="18.7109375" style="1" customWidth="1"/>
    <col min="5092" max="5092" width="6" style="1" customWidth="1"/>
    <col min="5093" max="5093" width="15.28515625" style="1" customWidth="1"/>
    <col min="5094" max="5094" width="28" style="1" customWidth="1"/>
    <col min="5095" max="5095" width="13.5703125" style="1" customWidth="1"/>
    <col min="5096" max="5096" width="15.5703125" style="1" customWidth="1"/>
    <col min="5097" max="5097" width="8.85546875" style="1" customWidth="1"/>
    <col min="5098" max="5098" width="15.28515625" style="1" customWidth="1"/>
    <col min="5099" max="5099" width="15.7109375" style="1" customWidth="1"/>
    <col min="5100" max="5102" width="17.140625" style="1" customWidth="1"/>
    <col min="5103" max="5103" width="35.7109375" style="1" customWidth="1"/>
    <col min="5104" max="5104" width="28.5703125" style="1" customWidth="1"/>
    <col min="5105" max="5105" width="17.140625" style="1" customWidth="1"/>
    <col min="5106" max="5106" width="28.5703125" style="1" customWidth="1"/>
    <col min="5107" max="5335" width="9.140625" style="1"/>
    <col min="5336" max="5336" width="11.42578125" style="1" customWidth="1"/>
    <col min="5337" max="5337" width="25.140625" style="1" customWidth="1"/>
    <col min="5338" max="5338" width="42.7109375" style="1" customWidth="1"/>
    <col min="5339" max="5339" width="9.28515625" style="1" customWidth="1"/>
    <col min="5340" max="5340" width="13.85546875" style="1" customWidth="1"/>
    <col min="5341" max="5341" width="10.42578125" style="1" customWidth="1"/>
    <col min="5342" max="5342" width="16.7109375" style="1" customWidth="1"/>
    <col min="5343" max="5343" width="16.28515625" style="1" customWidth="1"/>
    <col min="5344" max="5344" width="14.42578125" style="1" customWidth="1"/>
    <col min="5345" max="5345" width="14.85546875" style="1" customWidth="1"/>
    <col min="5346" max="5346" width="13" style="1" customWidth="1"/>
    <col min="5347" max="5347" width="18.7109375" style="1" customWidth="1"/>
    <col min="5348" max="5348" width="6" style="1" customWidth="1"/>
    <col min="5349" max="5349" width="15.28515625" style="1" customWidth="1"/>
    <col min="5350" max="5350" width="28" style="1" customWidth="1"/>
    <col min="5351" max="5351" width="13.5703125" style="1" customWidth="1"/>
    <col min="5352" max="5352" width="15.5703125" style="1" customWidth="1"/>
    <col min="5353" max="5353" width="8.85546875" style="1" customWidth="1"/>
    <col min="5354" max="5354" width="15.28515625" style="1" customWidth="1"/>
    <col min="5355" max="5355" width="15.7109375" style="1" customWidth="1"/>
    <col min="5356" max="5358" width="17.140625" style="1" customWidth="1"/>
    <col min="5359" max="5359" width="35.7109375" style="1" customWidth="1"/>
    <col min="5360" max="5360" width="28.5703125" style="1" customWidth="1"/>
    <col min="5361" max="5361" width="17.140625" style="1" customWidth="1"/>
    <col min="5362" max="5362" width="28.5703125" style="1" customWidth="1"/>
    <col min="5363" max="5591" width="9.140625" style="1"/>
    <col min="5592" max="5592" width="11.42578125" style="1" customWidth="1"/>
    <col min="5593" max="5593" width="25.140625" style="1" customWidth="1"/>
    <col min="5594" max="5594" width="42.7109375" style="1" customWidth="1"/>
    <col min="5595" max="5595" width="9.28515625" style="1" customWidth="1"/>
    <col min="5596" max="5596" width="13.85546875" style="1" customWidth="1"/>
    <col min="5597" max="5597" width="10.42578125" style="1" customWidth="1"/>
    <col min="5598" max="5598" width="16.7109375" style="1" customWidth="1"/>
    <col min="5599" max="5599" width="16.28515625" style="1" customWidth="1"/>
    <col min="5600" max="5600" width="14.42578125" style="1" customWidth="1"/>
    <col min="5601" max="5601" width="14.85546875" style="1" customWidth="1"/>
    <col min="5602" max="5602" width="13" style="1" customWidth="1"/>
    <col min="5603" max="5603" width="18.7109375" style="1" customWidth="1"/>
    <col min="5604" max="5604" width="6" style="1" customWidth="1"/>
    <col min="5605" max="5605" width="15.28515625" style="1" customWidth="1"/>
    <col min="5606" max="5606" width="28" style="1" customWidth="1"/>
    <col min="5607" max="5607" width="13.5703125" style="1" customWidth="1"/>
    <col min="5608" max="5608" width="15.5703125" style="1" customWidth="1"/>
    <col min="5609" max="5609" width="8.85546875" style="1" customWidth="1"/>
    <col min="5610" max="5610" width="15.28515625" style="1" customWidth="1"/>
    <col min="5611" max="5611" width="15.7109375" style="1" customWidth="1"/>
    <col min="5612" max="5614" width="17.140625" style="1" customWidth="1"/>
    <col min="5615" max="5615" width="35.7109375" style="1" customWidth="1"/>
    <col min="5616" max="5616" width="28.5703125" style="1" customWidth="1"/>
    <col min="5617" max="5617" width="17.140625" style="1" customWidth="1"/>
    <col min="5618" max="5618" width="28.5703125" style="1" customWidth="1"/>
    <col min="5619" max="5847" width="9.140625" style="1"/>
    <col min="5848" max="5848" width="11.42578125" style="1" customWidth="1"/>
    <col min="5849" max="5849" width="25.140625" style="1" customWidth="1"/>
    <col min="5850" max="5850" width="42.7109375" style="1" customWidth="1"/>
    <col min="5851" max="5851" width="9.28515625" style="1" customWidth="1"/>
    <col min="5852" max="5852" width="13.85546875" style="1" customWidth="1"/>
    <col min="5853" max="5853" width="10.42578125" style="1" customWidth="1"/>
    <col min="5854" max="5854" width="16.7109375" style="1" customWidth="1"/>
    <col min="5855" max="5855" width="16.28515625" style="1" customWidth="1"/>
    <col min="5856" max="5856" width="14.42578125" style="1" customWidth="1"/>
    <col min="5857" max="5857" width="14.85546875" style="1" customWidth="1"/>
    <col min="5858" max="5858" width="13" style="1" customWidth="1"/>
    <col min="5859" max="5859" width="18.7109375" style="1" customWidth="1"/>
    <col min="5860" max="5860" width="6" style="1" customWidth="1"/>
    <col min="5861" max="5861" width="15.28515625" style="1" customWidth="1"/>
    <col min="5862" max="5862" width="28" style="1" customWidth="1"/>
    <col min="5863" max="5863" width="13.5703125" style="1" customWidth="1"/>
    <col min="5864" max="5864" width="15.5703125" style="1" customWidth="1"/>
    <col min="5865" max="5865" width="8.85546875" style="1" customWidth="1"/>
    <col min="5866" max="5866" width="15.28515625" style="1" customWidth="1"/>
    <col min="5867" max="5867" width="15.7109375" style="1" customWidth="1"/>
    <col min="5868" max="5870" width="17.140625" style="1" customWidth="1"/>
    <col min="5871" max="5871" width="35.7109375" style="1" customWidth="1"/>
    <col min="5872" max="5872" width="28.5703125" style="1" customWidth="1"/>
    <col min="5873" max="5873" width="17.140625" style="1" customWidth="1"/>
    <col min="5874" max="5874" width="28.5703125" style="1" customWidth="1"/>
    <col min="5875" max="6103" width="9.140625" style="1"/>
    <col min="6104" max="6104" width="11.42578125" style="1" customWidth="1"/>
    <col min="6105" max="6105" width="25.140625" style="1" customWidth="1"/>
    <col min="6106" max="6106" width="42.7109375" style="1" customWidth="1"/>
    <col min="6107" max="6107" width="9.28515625" style="1" customWidth="1"/>
    <col min="6108" max="6108" width="13.85546875" style="1" customWidth="1"/>
    <col min="6109" max="6109" width="10.42578125" style="1" customWidth="1"/>
    <col min="6110" max="6110" width="16.7109375" style="1" customWidth="1"/>
    <col min="6111" max="6111" width="16.28515625" style="1" customWidth="1"/>
    <col min="6112" max="6112" width="14.42578125" style="1" customWidth="1"/>
    <col min="6113" max="6113" width="14.85546875" style="1" customWidth="1"/>
    <col min="6114" max="6114" width="13" style="1" customWidth="1"/>
    <col min="6115" max="6115" width="18.7109375" style="1" customWidth="1"/>
    <col min="6116" max="6116" width="6" style="1" customWidth="1"/>
    <col min="6117" max="6117" width="15.28515625" style="1" customWidth="1"/>
    <col min="6118" max="6118" width="28" style="1" customWidth="1"/>
    <col min="6119" max="6119" width="13.5703125" style="1" customWidth="1"/>
    <col min="6120" max="6120" width="15.5703125" style="1" customWidth="1"/>
    <col min="6121" max="6121" width="8.85546875" style="1" customWidth="1"/>
    <col min="6122" max="6122" width="15.28515625" style="1" customWidth="1"/>
    <col min="6123" max="6123" width="15.7109375" style="1" customWidth="1"/>
    <col min="6124" max="6126" width="17.140625" style="1" customWidth="1"/>
    <col min="6127" max="6127" width="35.7109375" style="1" customWidth="1"/>
    <col min="6128" max="6128" width="28.5703125" style="1" customWidth="1"/>
    <col min="6129" max="6129" width="17.140625" style="1" customWidth="1"/>
    <col min="6130" max="6130" width="28.5703125" style="1" customWidth="1"/>
    <col min="6131" max="6359" width="9.140625" style="1"/>
    <col min="6360" max="6360" width="11.42578125" style="1" customWidth="1"/>
    <col min="6361" max="6361" width="25.140625" style="1" customWidth="1"/>
    <col min="6362" max="6362" width="42.7109375" style="1" customWidth="1"/>
    <col min="6363" max="6363" width="9.28515625" style="1" customWidth="1"/>
    <col min="6364" max="6364" width="13.85546875" style="1" customWidth="1"/>
    <col min="6365" max="6365" width="10.42578125" style="1" customWidth="1"/>
    <col min="6366" max="6366" width="16.7109375" style="1" customWidth="1"/>
    <col min="6367" max="6367" width="16.28515625" style="1" customWidth="1"/>
    <col min="6368" max="6368" width="14.42578125" style="1" customWidth="1"/>
    <col min="6369" max="6369" width="14.85546875" style="1" customWidth="1"/>
    <col min="6370" max="6370" width="13" style="1" customWidth="1"/>
    <col min="6371" max="6371" width="18.7109375" style="1" customWidth="1"/>
    <col min="6372" max="6372" width="6" style="1" customWidth="1"/>
    <col min="6373" max="6373" width="15.28515625" style="1" customWidth="1"/>
    <col min="6374" max="6374" width="28" style="1" customWidth="1"/>
    <col min="6375" max="6375" width="13.5703125" style="1" customWidth="1"/>
    <col min="6376" max="6376" width="15.5703125" style="1" customWidth="1"/>
    <col min="6377" max="6377" width="8.85546875" style="1" customWidth="1"/>
    <col min="6378" max="6378" width="15.28515625" style="1" customWidth="1"/>
    <col min="6379" max="6379" width="15.7109375" style="1" customWidth="1"/>
    <col min="6380" max="6382" width="17.140625" style="1" customWidth="1"/>
    <col min="6383" max="6383" width="35.7109375" style="1" customWidth="1"/>
    <col min="6384" max="6384" width="28.5703125" style="1" customWidth="1"/>
    <col min="6385" max="6385" width="17.140625" style="1" customWidth="1"/>
    <col min="6386" max="6386" width="28.5703125" style="1" customWidth="1"/>
    <col min="6387" max="6615" width="9.140625" style="1"/>
    <col min="6616" max="6616" width="11.42578125" style="1" customWidth="1"/>
    <col min="6617" max="6617" width="25.140625" style="1" customWidth="1"/>
    <col min="6618" max="6618" width="42.7109375" style="1" customWidth="1"/>
    <col min="6619" max="6619" width="9.28515625" style="1" customWidth="1"/>
    <col min="6620" max="6620" width="13.85546875" style="1" customWidth="1"/>
    <col min="6621" max="6621" width="10.42578125" style="1" customWidth="1"/>
    <col min="6622" max="6622" width="16.7109375" style="1" customWidth="1"/>
    <col min="6623" max="6623" width="16.28515625" style="1" customWidth="1"/>
    <col min="6624" max="6624" width="14.42578125" style="1" customWidth="1"/>
    <col min="6625" max="6625" width="14.85546875" style="1" customWidth="1"/>
    <col min="6626" max="6626" width="13" style="1" customWidth="1"/>
    <col min="6627" max="6627" width="18.7109375" style="1" customWidth="1"/>
    <col min="6628" max="6628" width="6" style="1" customWidth="1"/>
    <col min="6629" max="6629" width="15.28515625" style="1" customWidth="1"/>
    <col min="6630" max="6630" width="28" style="1" customWidth="1"/>
    <col min="6631" max="6631" width="13.5703125" style="1" customWidth="1"/>
    <col min="6632" max="6632" width="15.5703125" style="1" customWidth="1"/>
    <col min="6633" max="6633" width="8.85546875" style="1" customWidth="1"/>
    <col min="6634" max="6634" width="15.28515625" style="1" customWidth="1"/>
    <col min="6635" max="6635" width="15.7109375" style="1" customWidth="1"/>
    <col min="6636" max="6638" width="17.140625" style="1" customWidth="1"/>
    <col min="6639" max="6639" width="35.7109375" style="1" customWidth="1"/>
    <col min="6640" max="6640" width="28.5703125" style="1" customWidth="1"/>
    <col min="6641" max="6641" width="17.140625" style="1" customWidth="1"/>
    <col min="6642" max="6642" width="28.5703125" style="1" customWidth="1"/>
    <col min="6643" max="6871" width="9.140625" style="1"/>
    <col min="6872" max="6872" width="11.42578125" style="1" customWidth="1"/>
    <col min="6873" max="6873" width="25.140625" style="1" customWidth="1"/>
    <col min="6874" max="6874" width="42.7109375" style="1" customWidth="1"/>
    <col min="6875" max="6875" width="9.28515625" style="1" customWidth="1"/>
    <col min="6876" max="6876" width="13.85546875" style="1" customWidth="1"/>
    <col min="6877" max="6877" width="10.42578125" style="1" customWidth="1"/>
    <col min="6878" max="6878" width="16.7109375" style="1" customWidth="1"/>
    <col min="6879" max="6879" width="16.28515625" style="1" customWidth="1"/>
    <col min="6880" max="6880" width="14.42578125" style="1" customWidth="1"/>
    <col min="6881" max="6881" width="14.85546875" style="1" customWidth="1"/>
    <col min="6882" max="6882" width="13" style="1" customWidth="1"/>
    <col min="6883" max="6883" width="18.7109375" style="1" customWidth="1"/>
    <col min="6884" max="6884" width="6" style="1" customWidth="1"/>
    <col min="6885" max="6885" width="15.28515625" style="1" customWidth="1"/>
    <col min="6886" max="6886" width="28" style="1" customWidth="1"/>
    <col min="6887" max="6887" width="13.5703125" style="1" customWidth="1"/>
    <col min="6888" max="6888" width="15.5703125" style="1" customWidth="1"/>
    <col min="6889" max="6889" width="8.85546875" style="1" customWidth="1"/>
    <col min="6890" max="6890" width="15.28515625" style="1" customWidth="1"/>
    <col min="6891" max="6891" width="15.7109375" style="1" customWidth="1"/>
    <col min="6892" max="6894" width="17.140625" style="1" customWidth="1"/>
    <col min="6895" max="6895" width="35.7109375" style="1" customWidth="1"/>
    <col min="6896" max="6896" width="28.5703125" style="1" customWidth="1"/>
    <col min="6897" max="6897" width="17.140625" style="1" customWidth="1"/>
    <col min="6898" max="6898" width="28.5703125" style="1" customWidth="1"/>
    <col min="6899" max="7127" width="9.140625" style="1"/>
    <col min="7128" max="7128" width="11.42578125" style="1" customWidth="1"/>
    <col min="7129" max="7129" width="25.140625" style="1" customWidth="1"/>
    <col min="7130" max="7130" width="42.7109375" style="1" customWidth="1"/>
    <col min="7131" max="7131" width="9.28515625" style="1" customWidth="1"/>
    <col min="7132" max="7132" width="13.85546875" style="1" customWidth="1"/>
    <col min="7133" max="7133" width="10.42578125" style="1" customWidth="1"/>
    <col min="7134" max="7134" width="16.7109375" style="1" customWidth="1"/>
    <col min="7135" max="7135" width="16.28515625" style="1" customWidth="1"/>
    <col min="7136" max="7136" width="14.42578125" style="1" customWidth="1"/>
    <col min="7137" max="7137" width="14.85546875" style="1" customWidth="1"/>
    <col min="7138" max="7138" width="13" style="1" customWidth="1"/>
    <col min="7139" max="7139" width="18.7109375" style="1" customWidth="1"/>
    <col min="7140" max="7140" width="6" style="1" customWidth="1"/>
    <col min="7141" max="7141" width="15.28515625" style="1" customWidth="1"/>
    <col min="7142" max="7142" width="28" style="1" customWidth="1"/>
    <col min="7143" max="7143" width="13.5703125" style="1" customWidth="1"/>
    <col min="7144" max="7144" width="15.5703125" style="1" customWidth="1"/>
    <col min="7145" max="7145" width="8.85546875" style="1" customWidth="1"/>
    <col min="7146" max="7146" width="15.28515625" style="1" customWidth="1"/>
    <col min="7147" max="7147" width="15.7109375" style="1" customWidth="1"/>
    <col min="7148" max="7150" width="17.140625" style="1" customWidth="1"/>
    <col min="7151" max="7151" width="35.7109375" style="1" customWidth="1"/>
    <col min="7152" max="7152" width="28.5703125" style="1" customWidth="1"/>
    <col min="7153" max="7153" width="17.140625" style="1" customWidth="1"/>
    <col min="7154" max="7154" width="28.5703125" style="1" customWidth="1"/>
    <col min="7155" max="7383" width="9.140625" style="1"/>
    <col min="7384" max="7384" width="11.42578125" style="1" customWidth="1"/>
    <col min="7385" max="7385" width="25.140625" style="1" customWidth="1"/>
    <col min="7386" max="7386" width="42.7109375" style="1" customWidth="1"/>
    <col min="7387" max="7387" width="9.28515625" style="1" customWidth="1"/>
    <col min="7388" max="7388" width="13.85546875" style="1" customWidth="1"/>
    <col min="7389" max="7389" width="10.42578125" style="1" customWidth="1"/>
    <col min="7390" max="7390" width="16.7109375" style="1" customWidth="1"/>
    <col min="7391" max="7391" width="16.28515625" style="1" customWidth="1"/>
    <col min="7392" max="7392" width="14.42578125" style="1" customWidth="1"/>
    <col min="7393" max="7393" width="14.85546875" style="1" customWidth="1"/>
    <col min="7394" max="7394" width="13" style="1" customWidth="1"/>
    <col min="7395" max="7395" width="18.7109375" style="1" customWidth="1"/>
    <col min="7396" max="7396" width="6" style="1" customWidth="1"/>
    <col min="7397" max="7397" width="15.28515625" style="1" customWidth="1"/>
    <col min="7398" max="7398" width="28" style="1" customWidth="1"/>
    <col min="7399" max="7399" width="13.5703125" style="1" customWidth="1"/>
    <col min="7400" max="7400" width="15.5703125" style="1" customWidth="1"/>
    <col min="7401" max="7401" width="8.85546875" style="1" customWidth="1"/>
    <col min="7402" max="7402" width="15.28515625" style="1" customWidth="1"/>
    <col min="7403" max="7403" width="15.7109375" style="1" customWidth="1"/>
    <col min="7404" max="7406" width="17.140625" style="1" customWidth="1"/>
    <col min="7407" max="7407" width="35.7109375" style="1" customWidth="1"/>
    <col min="7408" max="7408" width="28.5703125" style="1" customWidth="1"/>
    <col min="7409" max="7409" width="17.140625" style="1" customWidth="1"/>
    <col min="7410" max="7410" width="28.5703125" style="1" customWidth="1"/>
    <col min="7411" max="7639" width="9.140625" style="1"/>
    <col min="7640" max="7640" width="11.42578125" style="1" customWidth="1"/>
    <col min="7641" max="7641" width="25.140625" style="1" customWidth="1"/>
    <col min="7642" max="7642" width="42.7109375" style="1" customWidth="1"/>
    <col min="7643" max="7643" width="9.28515625" style="1" customWidth="1"/>
    <col min="7644" max="7644" width="13.85546875" style="1" customWidth="1"/>
    <col min="7645" max="7645" width="10.42578125" style="1" customWidth="1"/>
    <col min="7646" max="7646" width="16.7109375" style="1" customWidth="1"/>
    <col min="7647" max="7647" width="16.28515625" style="1" customWidth="1"/>
    <col min="7648" max="7648" width="14.42578125" style="1" customWidth="1"/>
    <col min="7649" max="7649" width="14.85546875" style="1" customWidth="1"/>
    <col min="7650" max="7650" width="13" style="1" customWidth="1"/>
    <col min="7651" max="7651" width="18.7109375" style="1" customWidth="1"/>
    <col min="7652" max="7652" width="6" style="1" customWidth="1"/>
    <col min="7653" max="7653" width="15.28515625" style="1" customWidth="1"/>
    <col min="7654" max="7654" width="28" style="1" customWidth="1"/>
    <col min="7655" max="7655" width="13.5703125" style="1" customWidth="1"/>
    <col min="7656" max="7656" width="15.5703125" style="1" customWidth="1"/>
    <col min="7657" max="7657" width="8.85546875" style="1" customWidth="1"/>
    <col min="7658" max="7658" width="15.28515625" style="1" customWidth="1"/>
    <col min="7659" max="7659" width="15.7109375" style="1" customWidth="1"/>
    <col min="7660" max="7662" width="17.140625" style="1" customWidth="1"/>
    <col min="7663" max="7663" width="35.7109375" style="1" customWidth="1"/>
    <col min="7664" max="7664" width="28.5703125" style="1" customWidth="1"/>
    <col min="7665" max="7665" width="17.140625" style="1" customWidth="1"/>
    <col min="7666" max="7666" width="28.5703125" style="1" customWidth="1"/>
    <col min="7667" max="7895" width="9.140625" style="1"/>
    <col min="7896" max="7896" width="11.42578125" style="1" customWidth="1"/>
    <col min="7897" max="7897" width="25.140625" style="1" customWidth="1"/>
    <col min="7898" max="7898" width="42.7109375" style="1" customWidth="1"/>
    <col min="7899" max="7899" width="9.28515625" style="1" customWidth="1"/>
    <col min="7900" max="7900" width="13.85546875" style="1" customWidth="1"/>
    <col min="7901" max="7901" width="10.42578125" style="1" customWidth="1"/>
    <col min="7902" max="7902" width="16.7109375" style="1" customWidth="1"/>
    <col min="7903" max="7903" width="16.28515625" style="1" customWidth="1"/>
    <col min="7904" max="7904" width="14.42578125" style="1" customWidth="1"/>
    <col min="7905" max="7905" width="14.85546875" style="1" customWidth="1"/>
    <col min="7906" max="7906" width="13" style="1" customWidth="1"/>
    <col min="7907" max="7907" width="18.7109375" style="1" customWidth="1"/>
    <col min="7908" max="7908" width="6" style="1" customWidth="1"/>
    <col min="7909" max="7909" width="15.28515625" style="1" customWidth="1"/>
    <col min="7910" max="7910" width="28" style="1" customWidth="1"/>
    <col min="7911" max="7911" width="13.5703125" style="1" customWidth="1"/>
    <col min="7912" max="7912" width="15.5703125" style="1" customWidth="1"/>
    <col min="7913" max="7913" width="8.85546875" style="1" customWidth="1"/>
    <col min="7914" max="7914" width="15.28515625" style="1" customWidth="1"/>
    <col min="7915" max="7915" width="15.7109375" style="1" customWidth="1"/>
    <col min="7916" max="7918" width="17.140625" style="1" customWidth="1"/>
    <col min="7919" max="7919" width="35.7109375" style="1" customWidth="1"/>
    <col min="7920" max="7920" width="28.5703125" style="1" customWidth="1"/>
    <col min="7921" max="7921" width="17.140625" style="1" customWidth="1"/>
    <col min="7922" max="7922" width="28.5703125" style="1" customWidth="1"/>
    <col min="7923" max="8151" width="9.140625" style="1"/>
    <col min="8152" max="8152" width="11.42578125" style="1" customWidth="1"/>
    <col min="8153" max="8153" width="25.140625" style="1" customWidth="1"/>
    <col min="8154" max="8154" width="42.7109375" style="1" customWidth="1"/>
    <col min="8155" max="8155" width="9.28515625" style="1" customWidth="1"/>
    <col min="8156" max="8156" width="13.85546875" style="1" customWidth="1"/>
    <col min="8157" max="8157" width="10.42578125" style="1" customWidth="1"/>
    <col min="8158" max="8158" width="16.7109375" style="1" customWidth="1"/>
    <col min="8159" max="8159" width="16.28515625" style="1" customWidth="1"/>
    <col min="8160" max="8160" width="14.42578125" style="1" customWidth="1"/>
    <col min="8161" max="8161" width="14.85546875" style="1" customWidth="1"/>
    <col min="8162" max="8162" width="13" style="1" customWidth="1"/>
    <col min="8163" max="8163" width="18.7109375" style="1" customWidth="1"/>
    <col min="8164" max="8164" width="6" style="1" customWidth="1"/>
    <col min="8165" max="8165" width="15.28515625" style="1" customWidth="1"/>
    <col min="8166" max="8166" width="28" style="1" customWidth="1"/>
    <col min="8167" max="8167" width="13.5703125" style="1" customWidth="1"/>
    <col min="8168" max="8168" width="15.5703125" style="1" customWidth="1"/>
    <col min="8169" max="8169" width="8.85546875" style="1" customWidth="1"/>
    <col min="8170" max="8170" width="15.28515625" style="1" customWidth="1"/>
    <col min="8171" max="8171" width="15.7109375" style="1" customWidth="1"/>
    <col min="8172" max="8174" width="17.140625" style="1" customWidth="1"/>
    <col min="8175" max="8175" width="35.7109375" style="1" customWidth="1"/>
    <col min="8176" max="8176" width="28.5703125" style="1" customWidth="1"/>
    <col min="8177" max="8177" width="17.140625" style="1" customWidth="1"/>
    <col min="8178" max="8178" width="28.5703125" style="1" customWidth="1"/>
    <col min="8179" max="8407" width="9.140625" style="1"/>
    <col min="8408" max="8408" width="11.42578125" style="1" customWidth="1"/>
    <col min="8409" max="8409" width="25.140625" style="1" customWidth="1"/>
    <col min="8410" max="8410" width="42.7109375" style="1" customWidth="1"/>
    <col min="8411" max="8411" width="9.28515625" style="1" customWidth="1"/>
    <col min="8412" max="8412" width="13.85546875" style="1" customWidth="1"/>
    <col min="8413" max="8413" width="10.42578125" style="1" customWidth="1"/>
    <col min="8414" max="8414" width="16.7109375" style="1" customWidth="1"/>
    <col min="8415" max="8415" width="16.28515625" style="1" customWidth="1"/>
    <col min="8416" max="8416" width="14.42578125" style="1" customWidth="1"/>
    <col min="8417" max="8417" width="14.85546875" style="1" customWidth="1"/>
    <col min="8418" max="8418" width="13" style="1" customWidth="1"/>
    <col min="8419" max="8419" width="18.7109375" style="1" customWidth="1"/>
    <col min="8420" max="8420" width="6" style="1" customWidth="1"/>
    <col min="8421" max="8421" width="15.28515625" style="1" customWidth="1"/>
    <col min="8422" max="8422" width="28" style="1" customWidth="1"/>
    <col min="8423" max="8423" width="13.5703125" style="1" customWidth="1"/>
    <col min="8424" max="8424" width="15.5703125" style="1" customWidth="1"/>
    <col min="8425" max="8425" width="8.85546875" style="1" customWidth="1"/>
    <col min="8426" max="8426" width="15.28515625" style="1" customWidth="1"/>
    <col min="8427" max="8427" width="15.7109375" style="1" customWidth="1"/>
    <col min="8428" max="8430" width="17.140625" style="1" customWidth="1"/>
    <col min="8431" max="8431" width="35.7109375" style="1" customWidth="1"/>
    <col min="8432" max="8432" width="28.5703125" style="1" customWidth="1"/>
    <col min="8433" max="8433" width="17.140625" style="1" customWidth="1"/>
    <col min="8434" max="8434" width="28.5703125" style="1" customWidth="1"/>
    <col min="8435" max="8663" width="9.140625" style="1"/>
    <col min="8664" max="8664" width="11.42578125" style="1" customWidth="1"/>
    <col min="8665" max="8665" width="25.140625" style="1" customWidth="1"/>
    <col min="8666" max="8666" width="42.7109375" style="1" customWidth="1"/>
    <col min="8667" max="8667" width="9.28515625" style="1" customWidth="1"/>
    <col min="8668" max="8668" width="13.85546875" style="1" customWidth="1"/>
    <col min="8669" max="8669" width="10.42578125" style="1" customWidth="1"/>
    <col min="8670" max="8670" width="16.7109375" style="1" customWidth="1"/>
    <col min="8671" max="8671" width="16.28515625" style="1" customWidth="1"/>
    <col min="8672" max="8672" width="14.42578125" style="1" customWidth="1"/>
    <col min="8673" max="8673" width="14.85546875" style="1" customWidth="1"/>
    <col min="8674" max="8674" width="13" style="1" customWidth="1"/>
    <col min="8675" max="8675" width="18.7109375" style="1" customWidth="1"/>
    <col min="8676" max="8676" width="6" style="1" customWidth="1"/>
    <col min="8677" max="8677" width="15.28515625" style="1" customWidth="1"/>
    <col min="8678" max="8678" width="28" style="1" customWidth="1"/>
    <col min="8679" max="8679" width="13.5703125" style="1" customWidth="1"/>
    <col min="8680" max="8680" width="15.5703125" style="1" customWidth="1"/>
    <col min="8681" max="8681" width="8.85546875" style="1" customWidth="1"/>
    <col min="8682" max="8682" width="15.28515625" style="1" customWidth="1"/>
    <col min="8683" max="8683" width="15.7109375" style="1" customWidth="1"/>
    <col min="8684" max="8686" width="17.140625" style="1" customWidth="1"/>
    <col min="8687" max="8687" width="35.7109375" style="1" customWidth="1"/>
    <col min="8688" max="8688" width="28.5703125" style="1" customWidth="1"/>
    <col min="8689" max="8689" width="17.140625" style="1" customWidth="1"/>
    <col min="8690" max="8690" width="28.5703125" style="1" customWidth="1"/>
    <col min="8691" max="8919" width="9.140625" style="1"/>
    <col min="8920" max="8920" width="11.42578125" style="1" customWidth="1"/>
    <col min="8921" max="8921" width="25.140625" style="1" customWidth="1"/>
    <col min="8922" max="8922" width="42.7109375" style="1" customWidth="1"/>
    <col min="8923" max="8923" width="9.28515625" style="1" customWidth="1"/>
    <col min="8924" max="8924" width="13.85546875" style="1" customWidth="1"/>
    <col min="8925" max="8925" width="10.42578125" style="1" customWidth="1"/>
    <col min="8926" max="8926" width="16.7109375" style="1" customWidth="1"/>
    <col min="8927" max="8927" width="16.28515625" style="1" customWidth="1"/>
    <col min="8928" max="8928" width="14.42578125" style="1" customWidth="1"/>
    <col min="8929" max="8929" width="14.85546875" style="1" customWidth="1"/>
    <col min="8930" max="8930" width="13" style="1" customWidth="1"/>
    <col min="8931" max="8931" width="18.7109375" style="1" customWidth="1"/>
    <col min="8932" max="8932" width="6" style="1" customWidth="1"/>
    <col min="8933" max="8933" width="15.28515625" style="1" customWidth="1"/>
    <col min="8934" max="8934" width="28" style="1" customWidth="1"/>
    <col min="8935" max="8935" width="13.5703125" style="1" customWidth="1"/>
    <col min="8936" max="8936" width="15.5703125" style="1" customWidth="1"/>
    <col min="8937" max="8937" width="8.85546875" style="1" customWidth="1"/>
    <col min="8938" max="8938" width="15.28515625" style="1" customWidth="1"/>
    <col min="8939" max="8939" width="15.7109375" style="1" customWidth="1"/>
    <col min="8940" max="8942" width="17.140625" style="1" customWidth="1"/>
    <col min="8943" max="8943" width="35.7109375" style="1" customWidth="1"/>
    <col min="8944" max="8944" width="28.5703125" style="1" customWidth="1"/>
    <col min="8945" max="8945" width="17.140625" style="1" customWidth="1"/>
    <col min="8946" max="8946" width="28.5703125" style="1" customWidth="1"/>
    <col min="8947" max="9175" width="9.140625" style="1"/>
    <col min="9176" max="9176" width="11.42578125" style="1" customWidth="1"/>
    <col min="9177" max="9177" width="25.140625" style="1" customWidth="1"/>
    <col min="9178" max="9178" width="42.7109375" style="1" customWidth="1"/>
    <col min="9179" max="9179" width="9.28515625" style="1" customWidth="1"/>
    <col min="9180" max="9180" width="13.85546875" style="1" customWidth="1"/>
    <col min="9181" max="9181" width="10.42578125" style="1" customWidth="1"/>
    <col min="9182" max="9182" width="16.7109375" style="1" customWidth="1"/>
    <col min="9183" max="9183" width="16.28515625" style="1" customWidth="1"/>
    <col min="9184" max="9184" width="14.42578125" style="1" customWidth="1"/>
    <col min="9185" max="9185" width="14.85546875" style="1" customWidth="1"/>
    <col min="9186" max="9186" width="13" style="1" customWidth="1"/>
    <col min="9187" max="9187" width="18.7109375" style="1" customWidth="1"/>
    <col min="9188" max="9188" width="6" style="1" customWidth="1"/>
    <col min="9189" max="9189" width="15.28515625" style="1" customWidth="1"/>
    <col min="9190" max="9190" width="28" style="1" customWidth="1"/>
    <col min="9191" max="9191" width="13.5703125" style="1" customWidth="1"/>
    <col min="9192" max="9192" width="15.5703125" style="1" customWidth="1"/>
    <col min="9193" max="9193" width="8.85546875" style="1" customWidth="1"/>
    <col min="9194" max="9194" width="15.28515625" style="1" customWidth="1"/>
    <col min="9195" max="9195" width="15.7109375" style="1" customWidth="1"/>
    <col min="9196" max="9198" width="17.140625" style="1" customWidth="1"/>
    <col min="9199" max="9199" width="35.7109375" style="1" customWidth="1"/>
    <col min="9200" max="9200" width="28.5703125" style="1" customWidth="1"/>
    <col min="9201" max="9201" width="17.140625" style="1" customWidth="1"/>
    <col min="9202" max="9202" width="28.5703125" style="1" customWidth="1"/>
    <col min="9203" max="9431" width="9.140625" style="1"/>
    <col min="9432" max="9432" width="11.42578125" style="1" customWidth="1"/>
    <col min="9433" max="9433" width="25.140625" style="1" customWidth="1"/>
    <col min="9434" max="9434" width="42.7109375" style="1" customWidth="1"/>
    <col min="9435" max="9435" width="9.28515625" style="1" customWidth="1"/>
    <col min="9436" max="9436" width="13.85546875" style="1" customWidth="1"/>
    <col min="9437" max="9437" width="10.42578125" style="1" customWidth="1"/>
    <col min="9438" max="9438" width="16.7109375" style="1" customWidth="1"/>
    <col min="9439" max="9439" width="16.28515625" style="1" customWidth="1"/>
    <col min="9440" max="9440" width="14.42578125" style="1" customWidth="1"/>
    <col min="9441" max="9441" width="14.85546875" style="1" customWidth="1"/>
    <col min="9442" max="9442" width="13" style="1" customWidth="1"/>
    <col min="9443" max="9443" width="18.7109375" style="1" customWidth="1"/>
    <col min="9444" max="9444" width="6" style="1" customWidth="1"/>
    <col min="9445" max="9445" width="15.28515625" style="1" customWidth="1"/>
    <col min="9446" max="9446" width="28" style="1" customWidth="1"/>
    <col min="9447" max="9447" width="13.5703125" style="1" customWidth="1"/>
    <col min="9448" max="9448" width="15.5703125" style="1" customWidth="1"/>
    <col min="9449" max="9449" width="8.85546875" style="1" customWidth="1"/>
    <col min="9450" max="9450" width="15.28515625" style="1" customWidth="1"/>
    <col min="9451" max="9451" width="15.7109375" style="1" customWidth="1"/>
    <col min="9452" max="9454" width="17.140625" style="1" customWidth="1"/>
    <col min="9455" max="9455" width="35.7109375" style="1" customWidth="1"/>
    <col min="9456" max="9456" width="28.5703125" style="1" customWidth="1"/>
    <col min="9457" max="9457" width="17.140625" style="1" customWidth="1"/>
    <col min="9458" max="9458" width="28.5703125" style="1" customWidth="1"/>
    <col min="9459" max="9687" width="9.140625" style="1"/>
    <col min="9688" max="9688" width="11.42578125" style="1" customWidth="1"/>
    <col min="9689" max="9689" width="25.140625" style="1" customWidth="1"/>
    <col min="9690" max="9690" width="42.7109375" style="1" customWidth="1"/>
    <col min="9691" max="9691" width="9.28515625" style="1" customWidth="1"/>
    <col min="9692" max="9692" width="13.85546875" style="1" customWidth="1"/>
    <col min="9693" max="9693" width="10.42578125" style="1" customWidth="1"/>
    <col min="9694" max="9694" width="16.7109375" style="1" customWidth="1"/>
    <col min="9695" max="9695" width="16.28515625" style="1" customWidth="1"/>
    <col min="9696" max="9696" width="14.42578125" style="1" customWidth="1"/>
    <col min="9697" max="9697" width="14.85546875" style="1" customWidth="1"/>
    <col min="9698" max="9698" width="13" style="1" customWidth="1"/>
    <col min="9699" max="9699" width="18.7109375" style="1" customWidth="1"/>
    <col min="9700" max="9700" width="6" style="1" customWidth="1"/>
    <col min="9701" max="9701" width="15.28515625" style="1" customWidth="1"/>
    <col min="9702" max="9702" width="28" style="1" customWidth="1"/>
    <col min="9703" max="9703" width="13.5703125" style="1" customWidth="1"/>
    <col min="9704" max="9704" width="15.5703125" style="1" customWidth="1"/>
    <col min="9705" max="9705" width="8.85546875" style="1" customWidth="1"/>
    <col min="9706" max="9706" width="15.28515625" style="1" customWidth="1"/>
    <col min="9707" max="9707" width="15.7109375" style="1" customWidth="1"/>
    <col min="9708" max="9710" width="17.140625" style="1" customWidth="1"/>
    <col min="9711" max="9711" width="35.7109375" style="1" customWidth="1"/>
    <col min="9712" max="9712" width="28.5703125" style="1" customWidth="1"/>
    <col min="9713" max="9713" width="17.140625" style="1" customWidth="1"/>
    <col min="9714" max="9714" width="28.5703125" style="1" customWidth="1"/>
    <col min="9715" max="9943" width="9.140625" style="1"/>
    <col min="9944" max="9944" width="11.42578125" style="1" customWidth="1"/>
    <col min="9945" max="9945" width="25.140625" style="1" customWidth="1"/>
    <col min="9946" max="9946" width="42.7109375" style="1" customWidth="1"/>
    <col min="9947" max="9947" width="9.28515625" style="1" customWidth="1"/>
    <col min="9948" max="9948" width="13.85546875" style="1" customWidth="1"/>
    <col min="9949" max="9949" width="10.42578125" style="1" customWidth="1"/>
    <col min="9950" max="9950" width="16.7109375" style="1" customWidth="1"/>
    <col min="9951" max="9951" width="16.28515625" style="1" customWidth="1"/>
    <col min="9952" max="9952" width="14.42578125" style="1" customWidth="1"/>
    <col min="9953" max="9953" width="14.85546875" style="1" customWidth="1"/>
    <col min="9954" max="9954" width="13" style="1" customWidth="1"/>
    <col min="9955" max="9955" width="18.7109375" style="1" customWidth="1"/>
    <col min="9956" max="9956" width="6" style="1" customWidth="1"/>
    <col min="9957" max="9957" width="15.28515625" style="1" customWidth="1"/>
    <col min="9958" max="9958" width="28" style="1" customWidth="1"/>
    <col min="9959" max="9959" width="13.5703125" style="1" customWidth="1"/>
    <col min="9960" max="9960" width="15.5703125" style="1" customWidth="1"/>
    <col min="9961" max="9961" width="8.85546875" style="1" customWidth="1"/>
    <col min="9962" max="9962" width="15.28515625" style="1" customWidth="1"/>
    <col min="9963" max="9963" width="15.7109375" style="1" customWidth="1"/>
    <col min="9964" max="9966" width="17.140625" style="1" customWidth="1"/>
    <col min="9967" max="9967" width="35.7109375" style="1" customWidth="1"/>
    <col min="9968" max="9968" width="28.5703125" style="1" customWidth="1"/>
    <col min="9969" max="9969" width="17.140625" style="1" customWidth="1"/>
    <col min="9970" max="9970" width="28.5703125" style="1" customWidth="1"/>
    <col min="9971" max="10199" width="9.140625" style="1"/>
    <col min="10200" max="10200" width="11.42578125" style="1" customWidth="1"/>
    <col min="10201" max="10201" width="25.140625" style="1" customWidth="1"/>
    <col min="10202" max="10202" width="42.7109375" style="1" customWidth="1"/>
    <col min="10203" max="10203" width="9.28515625" style="1" customWidth="1"/>
    <col min="10204" max="10204" width="13.85546875" style="1" customWidth="1"/>
    <col min="10205" max="10205" width="10.42578125" style="1" customWidth="1"/>
    <col min="10206" max="10206" width="16.7109375" style="1" customWidth="1"/>
    <col min="10207" max="10207" width="16.28515625" style="1" customWidth="1"/>
    <col min="10208" max="10208" width="14.42578125" style="1" customWidth="1"/>
    <col min="10209" max="10209" width="14.85546875" style="1" customWidth="1"/>
    <col min="10210" max="10210" width="13" style="1" customWidth="1"/>
    <col min="10211" max="10211" width="18.7109375" style="1" customWidth="1"/>
    <col min="10212" max="10212" width="6" style="1" customWidth="1"/>
    <col min="10213" max="10213" width="15.28515625" style="1" customWidth="1"/>
    <col min="10214" max="10214" width="28" style="1" customWidth="1"/>
    <col min="10215" max="10215" width="13.5703125" style="1" customWidth="1"/>
    <col min="10216" max="10216" width="15.5703125" style="1" customWidth="1"/>
    <col min="10217" max="10217" width="8.85546875" style="1" customWidth="1"/>
    <col min="10218" max="10218" width="15.28515625" style="1" customWidth="1"/>
    <col min="10219" max="10219" width="15.7109375" style="1" customWidth="1"/>
    <col min="10220" max="10222" width="17.140625" style="1" customWidth="1"/>
    <col min="10223" max="10223" width="35.7109375" style="1" customWidth="1"/>
    <col min="10224" max="10224" width="28.5703125" style="1" customWidth="1"/>
    <col min="10225" max="10225" width="17.140625" style="1" customWidth="1"/>
    <col min="10226" max="10226" width="28.5703125" style="1" customWidth="1"/>
    <col min="10227" max="10455" width="9.140625" style="1"/>
    <col min="10456" max="10456" width="11.42578125" style="1" customWidth="1"/>
    <col min="10457" max="10457" width="25.140625" style="1" customWidth="1"/>
    <col min="10458" max="10458" width="42.7109375" style="1" customWidth="1"/>
    <col min="10459" max="10459" width="9.28515625" style="1" customWidth="1"/>
    <col min="10460" max="10460" width="13.85546875" style="1" customWidth="1"/>
    <col min="10461" max="10461" width="10.42578125" style="1" customWidth="1"/>
    <col min="10462" max="10462" width="16.7109375" style="1" customWidth="1"/>
    <col min="10463" max="10463" width="16.28515625" style="1" customWidth="1"/>
    <col min="10464" max="10464" width="14.42578125" style="1" customWidth="1"/>
    <col min="10465" max="10465" width="14.85546875" style="1" customWidth="1"/>
    <col min="10466" max="10466" width="13" style="1" customWidth="1"/>
    <col min="10467" max="10467" width="18.7109375" style="1" customWidth="1"/>
    <col min="10468" max="10468" width="6" style="1" customWidth="1"/>
    <col min="10469" max="10469" width="15.28515625" style="1" customWidth="1"/>
    <col min="10470" max="10470" width="28" style="1" customWidth="1"/>
    <col min="10471" max="10471" width="13.5703125" style="1" customWidth="1"/>
    <col min="10472" max="10472" width="15.5703125" style="1" customWidth="1"/>
    <col min="10473" max="10473" width="8.85546875" style="1" customWidth="1"/>
    <col min="10474" max="10474" width="15.28515625" style="1" customWidth="1"/>
    <col min="10475" max="10475" width="15.7109375" style="1" customWidth="1"/>
    <col min="10476" max="10478" width="17.140625" style="1" customWidth="1"/>
    <col min="10479" max="10479" width="35.7109375" style="1" customWidth="1"/>
    <col min="10480" max="10480" width="28.5703125" style="1" customWidth="1"/>
    <col min="10481" max="10481" width="17.140625" style="1" customWidth="1"/>
    <col min="10482" max="10482" width="28.5703125" style="1" customWidth="1"/>
    <col min="10483" max="10711" width="9.140625" style="1"/>
    <col min="10712" max="10712" width="11.42578125" style="1" customWidth="1"/>
    <col min="10713" max="10713" width="25.140625" style="1" customWidth="1"/>
    <col min="10714" max="10714" width="42.7109375" style="1" customWidth="1"/>
    <col min="10715" max="10715" width="9.28515625" style="1" customWidth="1"/>
    <col min="10716" max="10716" width="13.85546875" style="1" customWidth="1"/>
    <col min="10717" max="10717" width="10.42578125" style="1" customWidth="1"/>
    <col min="10718" max="10718" width="16.7109375" style="1" customWidth="1"/>
    <col min="10719" max="10719" width="16.28515625" style="1" customWidth="1"/>
    <col min="10720" max="10720" width="14.42578125" style="1" customWidth="1"/>
    <col min="10721" max="10721" width="14.85546875" style="1" customWidth="1"/>
    <col min="10722" max="10722" width="13" style="1" customWidth="1"/>
    <col min="10723" max="10723" width="18.7109375" style="1" customWidth="1"/>
    <col min="10724" max="10724" width="6" style="1" customWidth="1"/>
    <col min="10725" max="10725" width="15.28515625" style="1" customWidth="1"/>
    <col min="10726" max="10726" width="28" style="1" customWidth="1"/>
    <col min="10727" max="10727" width="13.5703125" style="1" customWidth="1"/>
    <col min="10728" max="10728" width="15.5703125" style="1" customWidth="1"/>
    <col min="10729" max="10729" width="8.85546875" style="1" customWidth="1"/>
    <col min="10730" max="10730" width="15.28515625" style="1" customWidth="1"/>
    <col min="10731" max="10731" width="15.7109375" style="1" customWidth="1"/>
    <col min="10732" max="10734" width="17.140625" style="1" customWidth="1"/>
    <col min="10735" max="10735" width="35.7109375" style="1" customWidth="1"/>
    <col min="10736" max="10736" width="28.5703125" style="1" customWidth="1"/>
    <col min="10737" max="10737" width="17.140625" style="1" customWidth="1"/>
    <col min="10738" max="10738" width="28.5703125" style="1" customWidth="1"/>
    <col min="10739" max="10967" width="9.140625" style="1"/>
    <col min="10968" max="10968" width="11.42578125" style="1" customWidth="1"/>
    <col min="10969" max="10969" width="25.140625" style="1" customWidth="1"/>
    <col min="10970" max="10970" width="42.7109375" style="1" customWidth="1"/>
    <col min="10971" max="10971" width="9.28515625" style="1" customWidth="1"/>
    <col min="10972" max="10972" width="13.85546875" style="1" customWidth="1"/>
    <col min="10973" max="10973" width="10.42578125" style="1" customWidth="1"/>
    <col min="10974" max="10974" width="16.7109375" style="1" customWidth="1"/>
    <col min="10975" max="10975" width="16.28515625" style="1" customWidth="1"/>
    <col min="10976" max="10976" width="14.42578125" style="1" customWidth="1"/>
    <col min="10977" max="10977" width="14.85546875" style="1" customWidth="1"/>
    <col min="10978" max="10978" width="13" style="1" customWidth="1"/>
    <col min="10979" max="10979" width="18.7109375" style="1" customWidth="1"/>
    <col min="10980" max="10980" width="6" style="1" customWidth="1"/>
    <col min="10981" max="10981" width="15.28515625" style="1" customWidth="1"/>
    <col min="10982" max="10982" width="28" style="1" customWidth="1"/>
    <col min="10983" max="10983" width="13.5703125" style="1" customWidth="1"/>
    <col min="10984" max="10984" width="15.5703125" style="1" customWidth="1"/>
    <col min="10985" max="10985" width="8.85546875" style="1" customWidth="1"/>
    <col min="10986" max="10986" width="15.28515625" style="1" customWidth="1"/>
    <col min="10987" max="10987" width="15.7109375" style="1" customWidth="1"/>
    <col min="10988" max="10990" width="17.140625" style="1" customWidth="1"/>
    <col min="10991" max="10991" width="35.7109375" style="1" customWidth="1"/>
    <col min="10992" max="10992" width="28.5703125" style="1" customWidth="1"/>
    <col min="10993" max="10993" width="17.140625" style="1" customWidth="1"/>
    <col min="10994" max="10994" width="28.5703125" style="1" customWidth="1"/>
    <col min="10995" max="11223" width="9.140625" style="1"/>
    <col min="11224" max="11224" width="11.42578125" style="1" customWidth="1"/>
    <col min="11225" max="11225" width="25.140625" style="1" customWidth="1"/>
    <col min="11226" max="11226" width="42.7109375" style="1" customWidth="1"/>
    <col min="11227" max="11227" width="9.28515625" style="1" customWidth="1"/>
    <col min="11228" max="11228" width="13.85546875" style="1" customWidth="1"/>
    <col min="11229" max="11229" width="10.42578125" style="1" customWidth="1"/>
    <col min="11230" max="11230" width="16.7109375" style="1" customWidth="1"/>
    <col min="11231" max="11231" width="16.28515625" style="1" customWidth="1"/>
    <col min="11232" max="11232" width="14.42578125" style="1" customWidth="1"/>
    <col min="11233" max="11233" width="14.85546875" style="1" customWidth="1"/>
    <col min="11234" max="11234" width="13" style="1" customWidth="1"/>
    <col min="11235" max="11235" width="18.7109375" style="1" customWidth="1"/>
    <col min="11236" max="11236" width="6" style="1" customWidth="1"/>
    <col min="11237" max="11237" width="15.28515625" style="1" customWidth="1"/>
    <col min="11238" max="11238" width="28" style="1" customWidth="1"/>
    <col min="11239" max="11239" width="13.5703125" style="1" customWidth="1"/>
    <col min="11240" max="11240" width="15.5703125" style="1" customWidth="1"/>
    <col min="11241" max="11241" width="8.85546875" style="1" customWidth="1"/>
    <col min="11242" max="11242" width="15.28515625" style="1" customWidth="1"/>
    <col min="11243" max="11243" width="15.7109375" style="1" customWidth="1"/>
    <col min="11244" max="11246" width="17.140625" style="1" customWidth="1"/>
    <col min="11247" max="11247" width="35.7109375" style="1" customWidth="1"/>
    <col min="11248" max="11248" width="28.5703125" style="1" customWidth="1"/>
    <col min="11249" max="11249" width="17.140625" style="1" customWidth="1"/>
    <col min="11250" max="11250" width="28.5703125" style="1" customWidth="1"/>
    <col min="11251" max="11479" width="9.140625" style="1"/>
    <col min="11480" max="11480" width="11.42578125" style="1" customWidth="1"/>
    <col min="11481" max="11481" width="25.140625" style="1" customWidth="1"/>
    <col min="11482" max="11482" width="42.7109375" style="1" customWidth="1"/>
    <col min="11483" max="11483" width="9.28515625" style="1" customWidth="1"/>
    <col min="11484" max="11484" width="13.85546875" style="1" customWidth="1"/>
    <col min="11485" max="11485" width="10.42578125" style="1" customWidth="1"/>
    <col min="11486" max="11486" width="16.7109375" style="1" customWidth="1"/>
    <col min="11487" max="11487" width="16.28515625" style="1" customWidth="1"/>
    <col min="11488" max="11488" width="14.42578125" style="1" customWidth="1"/>
    <col min="11489" max="11489" width="14.85546875" style="1" customWidth="1"/>
    <col min="11490" max="11490" width="13" style="1" customWidth="1"/>
    <col min="11491" max="11491" width="18.7109375" style="1" customWidth="1"/>
    <col min="11492" max="11492" width="6" style="1" customWidth="1"/>
    <col min="11493" max="11493" width="15.28515625" style="1" customWidth="1"/>
    <col min="11494" max="11494" width="28" style="1" customWidth="1"/>
    <col min="11495" max="11495" width="13.5703125" style="1" customWidth="1"/>
    <col min="11496" max="11496" width="15.5703125" style="1" customWidth="1"/>
    <col min="11497" max="11497" width="8.85546875" style="1" customWidth="1"/>
    <col min="11498" max="11498" width="15.28515625" style="1" customWidth="1"/>
    <col min="11499" max="11499" width="15.7109375" style="1" customWidth="1"/>
    <col min="11500" max="11502" width="17.140625" style="1" customWidth="1"/>
    <col min="11503" max="11503" width="35.7109375" style="1" customWidth="1"/>
    <col min="11504" max="11504" width="28.5703125" style="1" customWidth="1"/>
    <col min="11505" max="11505" width="17.140625" style="1" customWidth="1"/>
    <col min="11506" max="11506" width="28.5703125" style="1" customWidth="1"/>
    <col min="11507" max="11735" width="9.140625" style="1"/>
    <col min="11736" max="11736" width="11.42578125" style="1" customWidth="1"/>
    <col min="11737" max="11737" width="25.140625" style="1" customWidth="1"/>
    <col min="11738" max="11738" width="42.7109375" style="1" customWidth="1"/>
    <col min="11739" max="11739" width="9.28515625" style="1" customWidth="1"/>
    <col min="11740" max="11740" width="13.85546875" style="1" customWidth="1"/>
    <col min="11741" max="11741" width="10.42578125" style="1" customWidth="1"/>
    <col min="11742" max="11742" width="16.7109375" style="1" customWidth="1"/>
    <col min="11743" max="11743" width="16.28515625" style="1" customWidth="1"/>
    <col min="11744" max="11744" width="14.42578125" style="1" customWidth="1"/>
    <col min="11745" max="11745" width="14.85546875" style="1" customWidth="1"/>
    <col min="11746" max="11746" width="13" style="1" customWidth="1"/>
    <col min="11747" max="11747" width="18.7109375" style="1" customWidth="1"/>
    <col min="11748" max="11748" width="6" style="1" customWidth="1"/>
    <col min="11749" max="11749" width="15.28515625" style="1" customWidth="1"/>
    <col min="11750" max="11750" width="28" style="1" customWidth="1"/>
    <col min="11751" max="11751" width="13.5703125" style="1" customWidth="1"/>
    <col min="11752" max="11752" width="15.5703125" style="1" customWidth="1"/>
    <col min="11753" max="11753" width="8.85546875" style="1" customWidth="1"/>
    <col min="11754" max="11754" width="15.28515625" style="1" customWidth="1"/>
    <col min="11755" max="11755" width="15.7109375" style="1" customWidth="1"/>
    <col min="11756" max="11758" width="17.140625" style="1" customWidth="1"/>
    <col min="11759" max="11759" width="35.7109375" style="1" customWidth="1"/>
    <col min="11760" max="11760" width="28.5703125" style="1" customWidth="1"/>
    <col min="11761" max="11761" width="17.140625" style="1" customWidth="1"/>
    <col min="11762" max="11762" width="28.5703125" style="1" customWidth="1"/>
    <col min="11763" max="11991" width="9.140625" style="1"/>
    <col min="11992" max="11992" width="11.42578125" style="1" customWidth="1"/>
    <col min="11993" max="11993" width="25.140625" style="1" customWidth="1"/>
    <col min="11994" max="11994" width="42.7109375" style="1" customWidth="1"/>
    <col min="11995" max="11995" width="9.28515625" style="1" customWidth="1"/>
    <col min="11996" max="11996" width="13.85546875" style="1" customWidth="1"/>
    <col min="11997" max="11997" width="10.42578125" style="1" customWidth="1"/>
    <col min="11998" max="11998" width="16.7109375" style="1" customWidth="1"/>
    <col min="11999" max="11999" width="16.28515625" style="1" customWidth="1"/>
    <col min="12000" max="12000" width="14.42578125" style="1" customWidth="1"/>
    <col min="12001" max="12001" width="14.85546875" style="1" customWidth="1"/>
    <col min="12002" max="12002" width="13" style="1" customWidth="1"/>
    <col min="12003" max="12003" width="18.7109375" style="1" customWidth="1"/>
    <col min="12004" max="12004" width="6" style="1" customWidth="1"/>
    <col min="12005" max="12005" width="15.28515625" style="1" customWidth="1"/>
    <col min="12006" max="12006" width="28" style="1" customWidth="1"/>
    <col min="12007" max="12007" width="13.5703125" style="1" customWidth="1"/>
    <col min="12008" max="12008" width="15.5703125" style="1" customWidth="1"/>
    <col min="12009" max="12009" width="8.85546875" style="1" customWidth="1"/>
    <col min="12010" max="12010" width="15.28515625" style="1" customWidth="1"/>
    <col min="12011" max="12011" width="15.7109375" style="1" customWidth="1"/>
    <col min="12012" max="12014" width="17.140625" style="1" customWidth="1"/>
    <col min="12015" max="12015" width="35.7109375" style="1" customWidth="1"/>
    <col min="12016" max="12016" width="28.5703125" style="1" customWidth="1"/>
    <col min="12017" max="12017" width="17.140625" style="1" customWidth="1"/>
    <col min="12018" max="12018" width="28.5703125" style="1" customWidth="1"/>
    <col min="12019" max="12247" width="9.140625" style="1"/>
    <col min="12248" max="12248" width="11.42578125" style="1" customWidth="1"/>
    <col min="12249" max="12249" width="25.140625" style="1" customWidth="1"/>
    <col min="12250" max="12250" width="42.7109375" style="1" customWidth="1"/>
    <col min="12251" max="12251" width="9.28515625" style="1" customWidth="1"/>
    <col min="12252" max="12252" width="13.85546875" style="1" customWidth="1"/>
    <col min="12253" max="12253" width="10.42578125" style="1" customWidth="1"/>
    <col min="12254" max="12254" width="16.7109375" style="1" customWidth="1"/>
    <col min="12255" max="12255" width="16.28515625" style="1" customWidth="1"/>
    <col min="12256" max="12256" width="14.42578125" style="1" customWidth="1"/>
    <col min="12257" max="12257" width="14.85546875" style="1" customWidth="1"/>
    <col min="12258" max="12258" width="13" style="1" customWidth="1"/>
    <col min="12259" max="12259" width="18.7109375" style="1" customWidth="1"/>
    <col min="12260" max="12260" width="6" style="1" customWidth="1"/>
    <col min="12261" max="12261" width="15.28515625" style="1" customWidth="1"/>
    <col min="12262" max="12262" width="28" style="1" customWidth="1"/>
    <col min="12263" max="12263" width="13.5703125" style="1" customWidth="1"/>
    <col min="12264" max="12264" width="15.5703125" style="1" customWidth="1"/>
    <col min="12265" max="12265" width="8.85546875" style="1" customWidth="1"/>
    <col min="12266" max="12266" width="15.28515625" style="1" customWidth="1"/>
    <col min="12267" max="12267" width="15.7109375" style="1" customWidth="1"/>
    <col min="12268" max="12270" width="17.140625" style="1" customWidth="1"/>
    <col min="12271" max="12271" width="35.7109375" style="1" customWidth="1"/>
    <col min="12272" max="12272" width="28.5703125" style="1" customWidth="1"/>
    <col min="12273" max="12273" width="17.140625" style="1" customWidth="1"/>
    <col min="12274" max="12274" width="28.5703125" style="1" customWidth="1"/>
    <col min="12275" max="12503" width="9.140625" style="1"/>
    <col min="12504" max="12504" width="11.42578125" style="1" customWidth="1"/>
    <col min="12505" max="12505" width="25.140625" style="1" customWidth="1"/>
    <col min="12506" max="12506" width="42.7109375" style="1" customWidth="1"/>
    <col min="12507" max="12507" width="9.28515625" style="1" customWidth="1"/>
    <col min="12508" max="12508" width="13.85546875" style="1" customWidth="1"/>
    <col min="12509" max="12509" width="10.42578125" style="1" customWidth="1"/>
    <col min="12510" max="12510" width="16.7109375" style="1" customWidth="1"/>
    <col min="12511" max="12511" width="16.28515625" style="1" customWidth="1"/>
    <col min="12512" max="12512" width="14.42578125" style="1" customWidth="1"/>
    <col min="12513" max="12513" width="14.85546875" style="1" customWidth="1"/>
    <col min="12514" max="12514" width="13" style="1" customWidth="1"/>
    <col min="12515" max="12515" width="18.7109375" style="1" customWidth="1"/>
    <col min="12516" max="12516" width="6" style="1" customWidth="1"/>
    <col min="12517" max="12517" width="15.28515625" style="1" customWidth="1"/>
    <col min="12518" max="12518" width="28" style="1" customWidth="1"/>
    <col min="12519" max="12519" width="13.5703125" style="1" customWidth="1"/>
    <col min="12520" max="12520" width="15.5703125" style="1" customWidth="1"/>
    <col min="12521" max="12521" width="8.85546875" style="1" customWidth="1"/>
    <col min="12522" max="12522" width="15.28515625" style="1" customWidth="1"/>
    <col min="12523" max="12523" width="15.7109375" style="1" customWidth="1"/>
    <col min="12524" max="12526" width="17.140625" style="1" customWidth="1"/>
    <col min="12527" max="12527" width="35.7109375" style="1" customWidth="1"/>
    <col min="12528" max="12528" width="28.5703125" style="1" customWidth="1"/>
    <col min="12529" max="12529" width="17.140625" style="1" customWidth="1"/>
    <col min="12530" max="12530" width="28.5703125" style="1" customWidth="1"/>
    <col min="12531" max="12759" width="9.140625" style="1"/>
    <col min="12760" max="12760" width="11.42578125" style="1" customWidth="1"/>
    <col min="12761" max="12761" width="25.140625" style="1" customWidth="1"/>
    <col min="12762" max="12762" width="42.7109375" style="1" customWidth="1"/>
    <col min="12763" max="12763" width="9.28515625" style="1" customWidth="1"/>
    <col min="12764" max="12764" width="13.85546875" style="1" customWidth="1"/>
    <col min="12765" max="12765" width="10.42578125" style="1" customWidth="1"/>
    <col min="12766" max="12766" width="16.7109375" style="1" customWidth="1"/>
    <col min="12767" max="12767" width="16.28515625" style="1" customWidth="1"/>
    <col min="12768" max="12768" width="14.42578125" style="1" customWidth="1"/>
    <col min="12769" max="12769" width="14.85546875" style="1" customWidth="1"/>
    <col min="12770" max="12770" width="13" style="1" customWidth="1"/>
    <col min="12771" max="12771" width="18.7109375" style="1" customWidth="1"/>
    <col min="12772" max="12772" width="6" style="1" customWidth="1"/>
    <col min="12773" max="12773" width="15.28515625" style="1" customWidth="1"/>
    <col min="12774" max="12774" width="28" style="1" customWidth="1"/>
    <col min="12775" max="12775" width="13.5703125" style="1" customWidth="1"/>
    <col min="12776" max="12776" width="15.5703125" style="1" customWidth="1"/>
    <col min="12777" max="12777" width="8.85546875" style="1" customWidth="1"/>
    <col min="12778" max="12778" width="15.28515625" style="1" customWidth="1"/>
    <col min="12779" max="12779" width="15.7109375" style="1" customWidth="1"/>
    <col min="12780" max="12782" width="17.140625" style="1" customWidth="1"/>
    <col min="12783" max="12783" width="35.7109375" style="1" customWidth="1"/>
    <col min="12784" max="12784" width="28.5703125" style="1" customWidth="1"/>
    <col min="12785" max="12785" width="17.140625" style="1" customWidth="1"/>
    <col min="12786" max="12786" width="28.5703125" style="1" customWidth="1"/>
    <col min="12787" max="13015" width="9.140625" style="1"/>
    <col min="13016" max="13016" width="11.42578125" style="1" customWidth="1"/>
    <col min="13017" max="13017" width="25.140625" style="1" customWidth="1"/>
    <col min="13018" max="13018" width="42.7109375" style="1" customWidth="1"/>
    <col min="13019" max="13019" width="9.28515625" style="1" customWidth="1"/>
    <col min="13020" max="13020" width="13.85546875" style="1" customWidth="1"/>
    <col min="13021" max="13021" width="10.42578125" style="1" customWidth="1"/>
    <col min="13022" max="13022" width="16.7109375" style="1" customWidth="1"/>
    <col min="13023" max="13023" width="16.28515625" style="1" customWidth="1"/>
    <col min="13024" max="13024" width="14.42578125" style="1" customWidth="1"/>
    <col min="13025" max="13025" width="14.85546875" style="1" customWidth="1"/>
    <col min="13026" max="13026" width="13" style="1" customWidth="1"/>
    <col min="13027" max="13027" width="18.7109375" style="1" customWidth="1"/>
    <col min="13028" max="13028" width="6" style="1" customWidth="1"/>
    <col min="13029" max="13029" width="15.28515625" style="1" customWidth="1"/>
    <col min="13030" max="13030" width="28" style="1" customWidth="1"/>
    <col min="13031" max="13031" width="13.5703125" style="1" customWidth="1"/>
    <col min="13032" max="13032" width="15.5703125" style="1" customWidth="1"/>
    <col min="13033" max="13033" width="8.85546875" style="1" customWidth="1"/>
    <col min="13034" max="13034" width="15.28515625" style="1" customWidth="1"/>
    <col min="13035" max="13035" width="15.7109375" style="1" customWidth="1"/>
    <col min="13036" max="13038" width="17.140625" style="1" customWidth="1"/>
    <col min="13039" max="13039" width="35.7109375" style="1" customWidth="1"/>
    <col min="13040" max="13040" width="28.5703125" style="1" customWidth="1"/>
    <col min="13041" max="13041" width="17.140625" style="1" customWidth="1"/>
    <col min="13042" max="13042" width="28.5703125" style="1" customWidth="1"/>
    <col min="13043" max="13271" width="9.140625" style="1"/>
    <col min="13272" max="13272" width="11.42578125" style="1" customWidth="1"/>
    <col min="13273" max="13273" width="25.140625" style="1" customWidth="1"/>
    <col min="13274" max="13274" width="42.7109375" style="1" customWidth="1"/>
    <col min="13275" max="13275" width="9.28515625" style="1" customWidth="1"/>
    <col min="13276" max="13276" width="13.85546875" style="1" customWidth="1"/>
    <col min="13277" max="13277" width="10.42578125" style="1" customWidth="1"/>
    <col min="13278" max="13278" width="16.7109375" style="1" customWidth="1"/>
    <col min="13279" max="13279" width="16.28515625" style="1" customWidth="1"/>
    <col min="13280" max="13280" width="14.42578125" style="1" customWidth="1"/>
    <col min="13281" max="13281" width="14.85546875" style="1" customWidth="1"/>
    <col min="13282" max="13282" width="13" style="1" customWidth="1"/>
    <col min="13283" max="13283" width="18.7109375" style="1" customWidth="1"/>
    <col min="13284" max="13284" width="6" style="1" customWidth="1"/>
    <col min="13285" max="13285" width="15.28515625" style="1" customWidth="1"/>
    <col min="13286" max="13286" width="28" style="1" customWidth="1"/>
    <col min="13287" max="13287" width="13.5703125" style="1" customWidth="1"/>
    <col min="13288" max="13288" width="15.5703125" style="1" customWidth="1"/>
    <col min="13289" max="13289" width="8.85546875" style="1" customWidth="1"/>
    <col min="13290" max="13290" width="15.28515625" style="1" customWidth="1"/>
    <col min="13291" max="13291" width="15.7109375" style="1" customWidth="1"/>
    <col min="13292" max="13294" width="17.140625" style="1" customWidth="1"/>
    <col min="13295" max="13295" width="35.7109375" style="1" customWidth="1"/>
    <col min="13296" max="13296" width="28.5703125" style="1" customWidth="1"/>
    <col min="13297" max="13297" width="17.140625" style="1" customWidth="1"/>
    <col min="13298" max="13298" width="28.5703125" style="1" customWidth="1"/>
    <col min="13299" max="13527" width="9.140625" style="1"/>
    <col min="13528" max="13528" width="11.42578125" style="1" customWidth="1"/>
    <col min="13529" max="13529" width="25.140625" style="1" customWidth="1"/>
    <col min="13530" max="13530" width="42.7109375" style="1" customWidth="1"/>
    <col min="13531" max="13531" width="9.28515625" style="1" customWidth="1"/>
    <col min="13532" max="13532" width="13.85546875" style="1" customWidth="1"/>
    <col min="13533" max="13533" width="10.42578125" style="1" customWidth="1"/>
    <col min="13534" max="13534" width="16.7109375" style="1" customWidth="1"/>
    <col min="13535" max="13535" width="16.28515625" style="1" customWidth="1"/>
    <col min="13536" max="13536" width="14.42578125" style="1" customWidth="1"/>
    <col min="13537" max="13537" width="14.85546875" style="1" customWidth="1"/>
    <col min="13538" max="13538" width="13" style="1" customWidth="1"/>
    <col min="13539" max="13539" width="18.7109375" style="1" customWidth="1"/>
    <col min="13540" max="13540" width="6" style="1" customWidth="1"/>
    <col min="13541" max="13541" width="15.28515625" style="1" customWidth="1"/>
    <col min="13542" max="13542" width="28" style="1" customWidth="1"/>
    <col min="13543" max="13543" width="13.5703125" style="1" customWidth="1"/>
    <col min="13544" max="13544" width="15.5703125" style="1" customWidth="1"/>
    <col min="13545" max="13545" width="8.85546875" style="1" customWidth="1"/>
    <col min="13546" max="13546" width="15.28515625" style="1" customWidth="1"/>
    <col min="13547" max="13547" width="15.7109375" style="1" customWidth="1"/>
    <col min="13548" max="13550" width="17.140625" style="1" customWidth="1"/>
    <col min="13551" max="13551" width="35.7109375" style="1" customWidth="1"/>
    <col min="13552" max="13552" width="28.5703125" style="1" customWidth="1"/>
    <col min="13553" max="13553" width="17.140625" style="1" customWidth="1"/>
    <col min="13554" max="13554" width="28.5703125" style="1" customWidth="1"/>
    <col min="13555" max="13783" width="9.140625" style="1"/>
    <col min="13784" max="13784" width="11.42578125" style="1" customWidth="1"/>
    <col min="13785" max="13785" width="25.140625" style="1" customWidth="1"/>
    <col min="13786" max="13786" width="42.7109375" style="1" customWidth="1"/>
    <col min="13787" max="13787" width="9.28515625" style="1" customWidth="1"/>
    <col min="13788" max="13788" width="13.85546875" style="1" customWidth="1"/>
    <col min="13789" max="13789" width="10.42578125" style="1" customWidth="1"/>
    <col min="13790" max="13790" width="16.7109375" style="1" customWidth="1"/>
    <col min="13791" max="13791" width="16.28515625" style="1" customWidth="1"/>
    <col min="13792" max="13792" width="14.42578125" style="1" customWidth="1"/>
    <col min="13793" max="13793" width="14.85546875" style="1" customWidth="1"/>
    <col min="13794" max="13794" width="13" style="1" customWidth="1"/>
    <col min="13795" max="13795" width="18.7109375" style="1" customWidth="1"/>
    <col min="13796" max="13796" width="6" style="1" customWidth="1"/>
    <col min="13797" max="13797" width="15.28515625" style="1" customWidth="1"/>
    <col min="13798" max="13798" width="28" style="1" customWidth="1"/>
    <col min="13799" max="13799" width="13.5703125" style="1" customWidth="1"/>
    <col min="13800" max="13800" width="15.5703125" style="1" customWidth="1"/>
    <col min="13801" max="13801" width="8.85546875" style="1" customWidth="1"/>
    <col min="13802" max="13802" width="15.28515625" style="1" customWidth="1"/>
    <col min="13803" max="13803" width="15.7109375" style="1" customWidth="1"/>
    <col min="13804" max="13806" width="17.140625" style="1" customWidth="1"/>
    <col min="13807" max="13807" width="35.7109375" style="1" customWidth="1"/>
    <col min="13808" max="13808" width="28.5703125" style="1" customWidth="1"/>
    <col min="13809" max="13809" width="17.140625" style="1" customWidth="1"/>
    <col min="13810" max="13810" width="28.5703125" style="1" customWidth="1"/>
    <col min="13811" max="14039" width="9.140625" style="1"/>
    <col min="14040" max="14040" width="11.42578125" style="1" customWidth="1"/>
    <col min="14041" max="14041" width="25.140625" style="1" customWidth="1"/>
    <col min="14042" max="14042" width="42.7109375" style="1" customWidth="1"/>
    <col min="14043" max="14043" width="9.28515625" style="1" customWidth="1"/>
    <col min="14044" max="14044" width="13.85546875" style="1" customWidth="1"/>
    <col min="14045" max="14045" width="10.42578125" style="1" customWidth="1"/>
    <col min="14046" max="14046" width="16.7109375" style="1" customWidth="1"/>
    <col min="14047" max="14047" width="16.28515625" style="1" customWidth="1"/>
    <col min="14048" max="14048" width="14.42578125" style="1" customWidth="1"/>
    <col min="14049" max="14049" width="14.85546875" style="1" customWidth="1"/>
    <col min="14050" max="14050" width="13" style="1" customWidth="1"/>
    <col min="14051" max="14051" width="18.7109375" style="1" customWidth="1"/>
    <col min="14052" max="14052" width="6" style="1" customWidth="1"/>
    <col min="14053" max="14053" width="15.28515625" style="1" customWidth="1"/>
    <col min="14054" max="14054" width="28" style="1" customWidth="1"/>
    <col min="14055" max="14055" width="13.5703125" style="1" customWidth="1"/>
    <col min="14056" max="14056" width="15.5703125" style="1" customWidth="1"/>
    <col min="14057" max="14057" width="8.85546875" style="1" customWidth="1"/>
    <col min="14058" max="14058" width="15.28515625" style="1" customWidth="1"/>
    <col min="14059" max="14059" width="15.7109375" style="1" customWidth="1"/>
    <col min="14060" max="14062" width="17.140625" style="1" customWidth="1"/>
    <col min="14063" max="14063" width="35.7109375" style="1" customWidth="1"/>
    <col min="14064" max="14064" width="28.5703125" style="1" customWidth="1"/>
    <col min="14065" max="14065" width="17.140625" style="1" customWidth="1"/>
    <col min="14066" max="14066" width="28.5703125" style="1" customWidth="1"/>
    <col min="14067" max="14295" width="9.140625" style="1"/>
    <col min="14296" max="14296" width="11.42578125" style="1" customWidth="1"/>
    <col min="14297" max="14297" width="25.140625" style="1" customWidth="1"/>
    <col min="14298" max="14298" width="42.7109375" style="1" customWidth="1"/>
    <col min="14299" max="14299" width="9.28515625" style="1" customWidth="1"/>
    <col min="14300" max="14300" width="13.85546875" style="1" customWidth="1"/>
    <col min="14301" max="14301" width="10.42578125" style="1" customWidth="1"/>
    <col min="14302" max="14302" width="16.7109375" style="1" customWidth="1"/>
    <col min="14303" max="14303" width="16.28515625" style="1" customWidth="1"/>
    <col min="14304" max="14304" width="14.42578125" style="1" customWidth="1"/>
    <col min="14305" max="14305" width="14.85546875" style="1" customWidth="1"/>
    <col min="14306" max="14306" width="13" style="1" customWidth="1"/>
    <col min="14307" max="14307" width="18.7109375" style="1" customWidth="1"/>
    <col min="14308" max="14308" width="6" style="1" customWidth="1"/>
    <col min="14309" max="14309" width="15.28515625" style="1" customWidth="1"/>
    <col min="14310" max="14310" width="28" style="1" customWidth="1"/>
    <col min="14311" max="14311" width="13.5703125" style="1" customWidth="1"/>
    <col min="14312" max="14312" width="15.5703125" style="1" customWidth="1"/>
    <col min="14313" max="14313" width="8.85546875" style="1" customWidth="1"/>
    <col min="14314" max="14314" width="15.28515625" style="1" customWidth="1"/>
    <col min="14315" max="14315" width="15.7109375" style="1" customWidth="1"/>
    <col min="14316" max="14318" width="17.140625" style="1" customWidth="1"/>
    <col min="14319" max="14319" width="35.7109375" style="1" customWidth="1"/>
    <col min="14320" max="14320" width="28.5703125" style="1" customWidth="1"/>
    <col min="14321" max="14321" width="17.140625" style="1" customWidth="1"/>
    <col min="14322" max="14322" width="28.5703125" style="1" customWidth="1"/>
    <col min="14323" max="14551" width="9.140625" style="1"/>
    <col min="14552" max="14552" width="11.42578125" style="1" customWidth="1"/>
    <col min="14553" max="14553" width="25.140625" style="1" customWidth="1"/>
    <col min="14554" max="14554" width="42.7109375" style="1" customWidth="1"/>
    <col min="14555" max="14555" width="9.28515625" style="1" customWidth="1"/>
    <col min="14556" max="14556" width="13.85546875" style="1" customWidth="1"/>
    <col min="14557" max="14557" width="10.42578125" style="1" customWidth="1"/>
    <col min="14558" max="14558" width="16.7109375" style="1" customWidth="1"/>
    <col min="14559" max="14559" width="16.28515625" style="1" customWidth="1"/>
    <col min="14560" max="14560" width="14.42578125" style="1" customWidth="1"/>
    <col min="14561" max="14561" width="14.85546875" style="1" customWidth="1"/>
    <col min="14562" max="14562" width="13" style="1" customWidth="1"/>
    <col min="14563" max="14563" width="18.7109375" style="1" customWidth="1"/>
    <col min="14564" max="14564" width="6" style="1" customWidth="1"/>
    <col min="14565" max="14565" width="15.28515625" style="1" customWidth="1"/>
    <col min="14566" max="14566" width="28" style="1" customWidth="1"/>
    <col min="14567" max="14567" width="13.5703125" style="1" customWidth="1"/>
    <col min="14568" max="14568" width="15.5703125" style="1" customWidth="1"/>
    <col min="14569" max="14569" width="8.85546875" style="1" customWidth="1"/>
    <col min="14570" max="14570" width="15.28515625" style="1" customWidth="1"/>
    <col min="14571" max="14571" width="15.7109375" style="1" customWidth="1"/>
    <col min="14572" max="14574" width="17.140625" style="1" customWidth="1"/>
    <col min="14575" max="14575" width="35.7109375" style="1" customWidth="1"/>
    <col min="14576" max="14576" width="28.5703125" style="1" customWidth="1"/>
    <col min="14577" max="14577" width="17.140625" style="1" customWidth="1"/>
    <col min="14578" max="14578" width="28.5703125" style="1" customWidth="1"/>
    <col min="14579" max="14807" width="9.140625" style="1"/>
    <col min="14808" max="14808" width="11.42578125" style="1" customWidth="1"/>
    <col min="14809" max="14809" width="25.140625" style="1" customWidth="1"/>
    <col min="14810" max="14810" width="42.7109375" style="1" customWidth="1"/>
    <col min="14811" max="14811" width="9.28515625" style="1" customWidth="1"/>
    <col min="14812" max="14812" width="13.85546875" style="1" customWidth="1"/>
    <col min="14813" max="14813" width="10.42578125" style="1" customWidth="1"/>
    <col min="14814" max="14814" width="16.7109375" style="1" customWidth="1"/>
    <col min="14815" max="14815" width="16.28515625" style="1" customWidth="1"/>
    <col min="14816" max="14816" width="14.42578125" style="1" customWidth="1"/>
    <col min="14817" max="14817" width="14.85546875" style="1" customWidth="1"/>
    <col min="14818" max="14818" width="13" style="1" customWidth="1"/>
    <col min="14819" max="14819" width="18.7109375" style="1" customWidth="1"/>
    <col min="14820" max="14820" width="6" style="1" customWidth="1"/>
    <col min="14821" max="14821" width="15.28515625" style="1" customWidth="1"/>
    <col min="14822" max="14822" width="28" style="1" customWidth="1"/>
    <col min="14823" max="14823" width="13.5703125" style="1" customWidth="1"/>
    <col min="14824" max="14824" width="15.5703125" style="1" customWidth="1"/>
    <col min="14825" max="14825" width="8.85546875" style="1" customWidth="1"/>
    <col min="14826" max="14826" width="15.28515625" style="1" customWidth="1"/>
    <col min="14827" max="14827" width="15.7109375" style="1" customWidth="1"/>
    <col min="14828" max="14830" width="17.140625" style="1" customWidth="1"/>
    <col min="14831" max="14831" width="35.7109375" style="1" customWidth="1"/>
    <col min="14832" max="14832" width="28.5703125" style="1" customWidth="1"/>
    <col min="14833" max="14833" width="17.140625" style="1" customWidth="1"/>
    <col min="14834" max="14834" width="28.5703125" style="1" customWidth="1"/>
    <col min="14835" max="15063" width="9.140625" style="1"/>
    <col min="15064" max="15064" width="11.42578125" style="1" customWidth="1"/>
    <col min="15065" max="15065" width="25.140625" style="1" customWidth="1"/>
    <col min="15066" max="15066" width="42.7109375" style="1" customWidth="1"/>
    <col min="15067" max="15067" width="9.28515625" style="1" customWidth="1"/>
    <col min="15068" max="15068" width="13.85546875" style="1" customWidth="1"/>
    <col min="15069" max="15069" width="10.42578125" style="1" customWidth="1"/>
    <col min="15070" max="15070" width="16.7109375" style="1" customWidth="1"/>
    <col min="15071" max="15071" width="16.28515625" style="1" customWidth="1"/>
    <col min="15072" max="15072" width="14.42578125" style="1" customWidth="1"/>
    <col min="15073" max="15073" width="14.85546875" style="1" customWidth="1"/>
    <col min="15074" max="15074" width="13" style="1" customWidth="1"/>
    <col min="15075" max="15075" width="18.7109375" style="1" customWidth="1"/>
    <col min="15076" max="15076" width="6" style="1" customWidth="1"/>
    <col min="15077" max="15077" width="15.28515625" style="1" customWidth="1"/>
    <col min="15078" max="15078" width="28" style="1" customWidth="1"/>
    <col min="15079" max="15079" width="13.5703125" style="1" customWidth="1"/>
    <col min="15080" max="15080" width="15.5703125" style="1" customWidth="1"/>
    <col min="15081" max="15081" width="8.85546875" style="1" customWidth="1"/>
    <col min="15082" max="15082" width="15.28515625" style="1" customWidth="1"/>
    <col min="15083" max="15083" width="15.7109375" style="1" customWidth="1"/>
    <col min="15084" max="15086" width="17.140625" style="1" customWidth="1"/>
    <col min="15087" max="15087" width="35.7109375" style="1" customWidth="1"/>
    <col min="15088" max="15088" width="28.5703125" style="1" customWidth="1"/>
    <col min="15089" max="15089" width="17.140625" style="1" customWidth="1"/>
    <col min="15090" max="15090" width="28.5703125" style="1" customWidth="1"/>
    <col min="15091" max="15319" width="9.140625" style="1"/>
    <col min="15320" max="15320" width="11.42578125" style="1" customWidth="1"/>
    <col min="15321" max="15321" width="25.140625" style="1" customWidth="1"/>
    <col min="15322" max="15322" width="42.7109375" style="1" customWidth="1"/>
    <col min="15323" max="15323" width="9.28515625" style="1" customWidth="1"/>
    <col min="15324" max="15324" width="13.85546875" style="1" customWidth="1"/>
    <col min="15325" max="15325" width="10.42578125" style="1" customWidth="1"/>
    <col min="15326" max="15326" width="16.7109375" style="1" customWidth="1"/>
    <col min="15327" max="15327" width="16.28515625" style="1" customWidth="1"/>
    <col min="15328" max="15328" width="14.42578125" style="1" customWidth="1"/>
    <col min="15329" max="15329" width="14.85546875" style="1" customWidth="1"/>
    <col min="15330" max="15330" width="13" style="1" customWidth="1"/>
    <col min="15331" max="15331" width="18.7109375" style="1" customWidth="1"/>
    <col min="15332" max="15332" width="6" style="1" customWidth="1"/>
    <col min="15333" max="15333" width="15.28515625" style="1" customWidth="1"/>
    <col min="15334" max="15334" width="28" style="1" customWidth="1"/>
    <col min="15335" max="15335" width="13.5703125" style="1" customWidth="1"/>
    <col min="15336" max="15336" width="15.5703125" style="1" customWidth="1"/>
    <col min="15337" max="15337" width="8.85546875" style="1" customWidth="1"/>
    <col min="15338" max="15338" width="15.28515625" style="1" customWidth="1"/>
    <col min="15339" max="15339" width="15.7109375" style="1" customWidth="1"/>
    <col min="15340" max="15342" width="17.140625" style="1" customWidth="1"/>
    <col min="15343" max="15343" width="35.7109375" style="1" customWidth="1"/>
    <col min="15344" max="15344" width="28.5703125" style="1" customWidth="1"/>
    <col min="15345" max="15345" width="17.140625" style="1" customWidth="1"/>
    <col min="15346" max="15346" width="28.5703125" style="1" customWidth="1"/>
    <col min="15347" max="15575" width="9.140625" style="1"/>
    <col min="15576" max="15576" width="11.42578125" style="1" customWidth="1"/>
    <col min="15577" max="15577" width="25.140625" style="1" customWidth="1"/>
    <col min="15578" max="15578" width="42.7109375" style="1" customWidth="1"/>
    <col min="15579" max="15579" width="9.28515625" style="1" customWidth="1"/>
    <col min="15580" max="15580" width="13.85546875" style="1" customWidth="1"/>
    <col min="15581" max="15581" width="10.42578125" style="1" customWidth="1"/>
    <col min="15582" max="15582" width="16.7109375" style="1" customWidth="1"/>
    <col min="15583" max="15583" width="16.28515625" style="1" customWidth="1"/>
    <col min="15584" max="15584" width="14.42578125" style="1" customWidth="1"/>
    <col min="15585" max="15585" width="14.85546875" style="1" customWidth="1"/>
    <col min="15586" max="15586" width="13" style="1" customWidth="1"/>
    <col min="15587" max="15587" width="18.7109375" style="1" customWidth="1"/>
    <col min="15588" max="15588" width="6" style="1" customWidth="1"/>
    <col min="15589" max="15589" width="15.28515625" style="1" customWidth="1"/>
    <col min="15590" max="15590" width="28" style="1" customWidth="1"/>
    <col min="15591" max="15591" width="13.5703125" style="1" customWidth="1"/>
    <col min="15592" max="15592" width="15.5703125" style="1" customWidth="1"/>
    <col min="15593" max="15593" width="8.85546875" style="1" customWidth="1"/>
    <col min="15594" max="15594" width="15.28515625" style="1" customWidth="1"/>
    <col min="15595" max="15595" width="15.7109375" style="1" customWidth="1"/>
    <col min="15596" max="15598" width="17.140625" style="1" customWidth="1"/>
    <col min="15599" max="15599" width="35.7109375" style="1" customWidth="1"/>
    <col min="15600" max="15600" width="28.5703125" style="1" customWidth="1"/>
    <col min="15601" max="15601" width="17.140625" style="1" customWidth="1"/>
    <col min="15602" max="15602" width="28.5703125" style="1" customWidth="1"/>
    <col min="15603" max="15831" width="9.140625" style="1"/>
    <col min="15832" max="15832" width="11.42578125" style="1" customWidth="1"/>
    <col min="15833" max="15833" width="25.140625" style="1" customWidth="1"/>
    <col min="15834" max="15834" width="42.7109375" style="1" customWidth="1"/>
    <col min="15835" max="15835" width="9.28515625" style="1" customWidth="1"/>
    <col min="15836" max="15836" width="13.85546875" style="1" customWidth="1"/>
    <col min="15837" max="15837" width="10.42578125" style="1" customWidth="1"/>
    <col min="15838" max="15838" width="16.7109375" style="1" customWidth="1"/>
    <col min="15839" max="15839" width="16.28515625" style="1" customWidth="1"/>
    <col min="15840" max="15840" width="14.42578125" style="1" customWidth="1"/>
    <col min="15841" max="15841" width="14.85546875" style="1" customWidth="1"/>
    <col min="15842" max="15842" width="13" style="1" customWidth="1"/>
    <col min="15843" max="15843" width="18.7109375" style="1" customWidth="1"/>
    <col min="15844" max="15844" width="6" style="1" customWidth="1"/>
    <col min="15845" max="15845" width="15.28515625" style="1" customWidth="1"/>
    <col min="15846" max="15846" width="28" style="1" customWidth="1"/>
    <col min="15847" max="15847" width="13.5703125" style="1" customWidth="1"/>
    <col min="15848" max="15848" width="15.5703125" style="1" customWidth="1"/>
    <col min="15849" max="15849" width="8.85546875" style="1" customWidth="1"/>
    <col min="15850" max="15850" width="15.28515625" style="1" customWidth="1"/>
    <col min="15851" max="15851" width="15.7109375" style="1" customWidth="1"/>
    <col min="15852" max="15854" width="17.140625" style="1" customWidth="1"/>
    <col min="15855" max="15855" width="35.7109375" style="1" customWidth="1"/>
    <col min="15856" max="15856" width="28.5703125" style="1" customWidth="1"/>
    <col min="15857" max="15857" width="17.140625" style="1" customWidth="1"/>
    <col min="15858" max="15858" width="28.5703125" style="1" customWidth="1"/>
    <col min="15859" max="16087" width="9.140625" style="1"/>
    <col min="16088" max="16088" width="11.42578125" style="1" customWidth="1"/>
    <col min="16089" max="16089" width="25.140625" style="1" customWidth="1"/>
    <col min="16090" max="16090" width="42.7109375" style="1" customWidth="1"/>
    <col min="16091" max="16091" width="9.28515625" style="1" customWidth="1"/>
    <col min="16092" max="16092" width="13.85546875" style="1" customWidth="1"/>
    <col min="16093" max="16093" width="10.42578125" style="1" customWidth="1"/>
    <col min="16094" max="16094" width="16.7109375" style="1" customWidth="1"/>
    <col min="16095" max="16095" width="16.28515625" style="1" customWidth="1"/>
    <col min="16096" max="16096" width="14.42578125" style="1" customWidth="1"/>
    <col min="16097" max="16097" width="14.85546875" style="1" customWidth="1"/>
    <col min="16098" max="16098" width="13" style="1" customWidth="1"/>
    <col min="16099" max="16099" width="18.7109375" style="1" customWidth="1"/>
    <col min="16100" max="16100" width="6" style="1" customWidth="1"/>
    <col min="16101" max="16101" width="15.28515625" style="1" customWidth="1"/>
    <col min="16102" max="16102" width="28" style="1" customWidth="1"/>
    <col min="16103" max="16103" width="13.5703125" style="1" customWidth="1"/>
    <col min="16104" max="16104" width="15.5703125" style="1" customWidth="1"/>
    <col min="16105" max="16105" width="8.85546875" style="1" customWidth="1"/>
    <col min="16106" max="16106" width="15.28515625" style="1" customWidth="1"/>
    <col min="16107" max="16107" width="15.7109375" style="1" customWidth="1"/>
    <col min="16108" max="16110" width="17.140625" style="1" customWidth="1"/>
    <col min="16111" max="16111" width="35.7109375" style="1" customWidth="1"/>
    <col min="16112" max="16112" width="28.5703125" style="1" customWidth="1"/>
    <col min="16113" max="16113" width="17.140625" style="1" customWidth="1"/>
    <col min="16114" max="16114" width="28.5703125" style="1" customWidth="1"/>
    <col min="16115" max="16384" width="9.140625" style="1"/>
  </cols>
  <sheetData>
    <row r="1" spans="2:20" ht="15" thickBot="1" x14ac:dyDescent="0.3"/>
    <row r="2" spans="2:20" s="4" customFormat="1" ht="24.75" customHeight="1" thickBot="1" x14ac:dyDescent="0.25">
      <c r="B2" s="114" t="s">
        <v>22</v>
      </c>
      <c r="C2" s="115"/>
      <c r="D2" s="115"/>
      <c r="E2" s="115"/>
      <c r="F2" s="115"/>
      <c r="G2" s="115"/>
      <c r="H2" s="115"/>
      <c r="I2" s="115"/>
      <c r="J2" s="116"/>
      <c r="K2" s="23"/>
      <c r="L2" s="114" t="s">
        <v>23</v>
      </c>
      <c r="M2" s="115"/>
      <c r="N2" s="115"/>
      <c r="O2" s="115"/>
      <c r="P2" s="115"/>
      <c r="Q2" s="115"/>
      <c r="R2" s="115"/>
      <c r="S2" s="115"/>
      <c r="T2" s="116"/>
    </row>
    <row r="3" spans="2:20" s="4" customFormat="1" ht="8.25" customHeight="1" thickBot="1" x14ac:dyDescent="0.25">
      <c r="B3" s="24"/>
      <c r="C3" s="24"/>
      <c r="D3" s="24"/>
      <c r="E3" s="24"/>
      <c r="F3" s="24"/>
      <c r="G3" s="24"/>
      <c r="H3" s="24"/>
      <c r="I3" s="23"/>
      <c r="J3" s="23"/>
      <c r="K3" s="23"/>
      <c r="L3" s="24"/>
      <c r="M3" s="24"/>
      <c r="N3" s="24"/>
      <c r="O3" s="24"/>
      <c r="P3" s="24"/>
      <c r="Q3" s="24"/>
      <c r="R3" s="23"/>
      <c r="S3" s="23"/>
    </row>
    <row r="4" spans="2:20" s="5" customFormat="1" ht="18" thickBot="1" x14ac:dyDescent="0.25">
      <c r="B4" s="126" t="s">
        <v>8</v>
      </c>
      <c r="C4" s="127"/>
      <c r="D4" s="123"/>
      <c r="E4" s="124"/>
      <c r="F4" s="124"/>
      <c r="G4" s="124"/>
      <c r="H4" s="124"/>
      <c r="I4" s="124"/>
      <c r="J4" s="125"/>
      <c r="L4" s="126" t="s">
        <v>8</v>
      </c>
      <c r="M4" s="132"/>
      <c r="N4" s="135"/>
      <c r="O4" s="136"/>
      <c r="P4" s="136"/>
      <c r="Q4" s="136"/>
      <c r="R4" s="136"/>
      <c r="S4" s="136"/>
      <c r="T4" s="137"/>
    </row>
    <row r="5" spans="2:20" s="6" customFormat="1" ht="18" thickBot="1" x14ac:dyDescent="0.3">
      <c r="B5" s="128" t="s">
        <v>7</v>
      </c>
      <c r="C5" s="129"/>
      <c r="D5" s="120" t="s">
        <v>42</v>
      </c>
      <c r="E5" s="121"/>
      <c r="F5" s="121"/>
      <c r="G5" s="121"/>
      <c r="H5" s="121"/>
      <c r="I5" s="121"/>
      <c r="J5" s="122"/>
      <c r="L5" s="128" t="s">
        <v>7</v>
      </c>
      <c r="M5" s="133"/>
      <c r="N5" s="138"/>
      <c r="O5" s="139"/>
      <c r="P5" s="139"/>
      <c r="Q5" s="139"/>
      <c r="R5" s="139"/>
      <c r="S5" s="139"/>
      <c r="T5" s="140"/>
    </row>
    <row r="6" spans="2:20" s="6" customFormat="1" ht="18" thickBot="1" x14ac:dyDescent="0.3">
      <c r="B6" s="128" t="s">
        <v>9</v>
      </c>
      <c r="C6" s="129"/>
      <c r="D6" s="120"/>
      <c r="E6" s="121"/>
      <c r="F6" s="121"/>
      <c r="G6" s="121"/>
      <c r="H6" s="121"/>
      <c r="I6" s="121"/>
      <c r="J6" s="122"/>
      <c r="L6" s="128" t="s">
        <v>9</v>
      </c>
      <c r="M6" s="133"/>
      <c r="N6" s="138"/>
      <c r="O6" s="139"/>
      <c r="P6" s="139"/>
      <c r="Q6" s="139"/>
      <c r="R6" s="139"/>
      <c r="S6" s="139"/>
      <c r="T6" s="140"/>
    </row>
    <row r="7" spans="2:20" s="6" customFormat="1" ht="18" thickBot="1" x14ac:dyDescent="0.3">
      <c r="B7" s="130" t="s">
        <v>0</v>
      </c>
      <c r="C7" s="131"/>
      <c r="D7" s="117"/>
      <c r="E7" s="118"/>
      <c r="F7" s="118"/>
      <c r="G7" s="118"/>
      <c r="H7" s="118"/>
      <c r="I7" s="118"/>
      <c r="J7" s="119"/>
      <c r="L7" s="130" t="s">
        <v>0</v>
      </c>
      <c r="M7" s="134"/>
      <c r="N7" s="138"/>
      <c r="O7" s="139"/>
      <c r="P7" s="139"/>
      <c r="Q7" s="139"/>
      <c r="R7" s="139"/>
      <c r="S7" s="139"/>
      <c r="T7" s="140"/>
    </row>
    <row r="8" spans="2:20" ht="15" thickBot="1" x14ac:dyDescent="0.3">
      <c r="B8" s="3"/>
      <c r="G8" s="57"/>
      <c r="H8" s="57"/>
      <c r="L8" s="3"/>
      <c r="M8" s="3"/>
      <c r="O8" s="2"/>
      <c r="P8" s="57"/>
      <c r="Q8" s="57"/>
    </row>
    <row r="9" spans="2:20" s="8" customFormat="1" ht="42" customHeight="1" thickBot="1" x14ac:dyDescent="0.25">
      <c r="B9" s="58" t="s">
        <v>1</v>
      </c>
      <c r="C9" s="59" t="s">
        <v>2</v>
      </c>
      <c r="D9" s="59" t="s">
        <v>15</v>
      </c>
      <c r="E9" s="59" t="s">
        <v>3</v>
      </c>
      <c r="F9" s="59" t="s">
        <v>4</v>
      </c>
      <c r="G9" s="60" t="s">
        <v>5</v>
      </c>
      <c r="H9" s="60" t="s">
        <v>25</v>
      </c>
      <c r="I9" s="60" t="s">
        <v>16</v>
      </c>
      <c r="J9" s="61" t="s">
        <v>17</v>
      </c>
      <c r="L9" s="62" t="s">
        <v>18</v>
      </c>
      <c r="M9" s="63" t="s">
        <v>15</v>
      </c>
      <c r="N9" s="64" t="s">
        <v>19</v>
      </c>
      <c r="O9" s="65" t="s">
        <v>21</v>
      </c>
      <c r="P9" s="105" t="s">
        <v>39</v>
      </c>
      <c r="Q9" s="66" t="s">
        <v>5</v>
      </c>
      <c r="R9" s="67" t="s">
        <v>6</v>
      </c>
      <c r="S9" s="68" t="s">
        <v>16</v>
      </c>
      <c r="T9" s="69" t="s">
        <v>17</v>
      </c>
    </row>
    <row r="10" spans="2:20" s="8" customFormat="1" x14ac:dyDescent="0.2">
      <c r="B10" s="77"/>
      <c r="C10" s="16" t="s">
        <v>32</v>
      </c>
      <c r="D10" s="72" t="str">
        <f>IFERROR(VLOOKUP(Tabella2[[#This Row],[Codice Articolo]],#REF!,2,),IFERROR(VLOOKUP(Tabella2[[#This Row],[Codice Articolo]],#REF!,2,),""))</f>
        <v/>
      </c>
      <c r="E10" s="72" t="str">
        <f>IFERROR(VLOOKUP(Tabella2[[#This Row],[Codice Articolo]],#REF!,3,),IFERROR(VLOOKUP(Tabella2[[#This Row],[Codice Articolo]],#REF!,3,),""))</f>
        <v/>
      </c>
      <c r="F10" s="72">
        <v>4</v>
      </c>
      <c r="G10" s="90" t="str">
        <f>IFERROR(VLOOKUP(Tabella2[[#This Row],[Codice Articolo]],#REF!,4,),IFERROR(VLOOKUP(Tabella2[[#This Row],[Codice Articolo]],#REF!,4,),""))</f>
        <v/>
      </c>
      <c r="H10" s="90" t="str">
        <f>IFERROR(Tabella2[[#This Row],[Q.tà]]*Tabella2[[#This Row],[Unitario]],"")</f>
        <v/>
      </c>
      <c r="I10" s="99">
        <v>0.9</v>
      </c>
      <c r="J10" s="88" t="str">
        <f>IFERROR(Tabella2[[#This Row],[Costo Totale]]+(Tabella2[[#This Row],[Costo Totale]]*Tabella2[[#This Row],[Ricarico]]),"")</f>
        <v/>
      </c>
      <c r="L10" s="77"/>
      <c r="M10" s="76"/>
      <c r="N10" s="101"/>
      <c r="O10" s="76"/>
      <c r="P10" s="76">
        <f>Tabella1[[#This Row],[N. Persone]]*Tabella1[[#This Row],[Q.tà (ORE)]]</f>
        <v>0</v>
      </c>
      <c r="Q10" s="102">
        <v>30</v>
      </c>
      <c r="R10" s="78">
        <f>Tabella1[[#This Row],[ORE TOTALI]]*Tabella1[[#This Row],[Unitario]]</f>
        <v>0</v>
      </c>
      <c r="S10" s="103">
        <v>0.5</v>
      </c>
      <c r="T10" s="104">
        <f>Tabella1[[#This Row],[Totale]]+(Tabella1[[#This Row],[Totale]]*Tabella1[[#This Row],[Ricarico]])</f>
        <v>0</v>
      </c>
    </row>
    <row r="11" spans="2:20" s="8" customFormat="1" ht="17.25" customHeight="1" x14ac:dyDescent="0.2">
      <c r="B11" s="77"/>
      <c r="C11" s="16">
        <v>1030586</v>
      </c>
      <c r="D11" s="72" t="str">
        <f>IFERROR(VLOOKUP(Tabella2[[#This Row],[Codice Articolo]],#REF!,2,),IFERROR(VLOOKUP(Tabella2[[#This Row],[Codice Articolo]],#REF!,2,),""))</f>
        <v/>
      </c>
      <c r="E11" s="72" t="str">
        <f>IFERROR(VLOOKUP(Tabella2[[#This Row],[Codice Articolo]],#REF!,3,),IFERROR(VLOOKUP(Tabella2[[#This Row],[Codice Articolo]],#REF!,3,),""))</f>
        <v/>
      </c>
      <c r="F11" s="72">
        <v>8</v>
      </c>
      <c r="G11" s="90" t="str">
        <f>IFERROR(VLOOKUP(Tabella2[[#This Row],[Codice Articolo]],#REF!,4,),IFERROR(VLOOKUP(Tabella2[[#This Row],[Codice Articolo]],#REF!,4,),""))</f>
        <v/>
      </c>
      <c r="H11" s="90" t="str">
        <f>IFERROR(Tabella2[[#This Row],[Q.tà]]*Tabella2[[#This Row],[Unitario]],"")</f>
        <v/>
      </c>
      <c r="I11" s="99">
        <v>0.9</v>
      </c>
      <c r="J11" s="88" t="str">
        <f>IFERROR(Tabella2[[#This Row],[Costo Totale]]+(Tabella2[[#This Row],[Costo Totale]]*Tabella2[[#This Row],[Ricarico]]),"")</f>
        <v/>
      </c>
      <c r="L11" s="77"/>
      <c r="M11" s="76"/>
      <c r="N11" s="101"/>
      <c r="O11" s="76"/>
      <c r="P11" s="76">
        <f>Tabella1[[#This Row],[N. Persone]]*Tabella1[[#This Row],[Q.tà (ORE)]]</f>
        <v>0</v>
      </c>
      <c r="Q11" s="102">
        <v>30</v>
      </c>
      <c r="R11" s="78">
        <f>Tabella1[[#This Row],[ORE TOTALI]]*Tabella1[[#This Row],[Unitario]]</f>
        <v>0</v>
      </c>
      <c r="S11" s="103">
        <v>0.5</v>
      </c>
      <c r="T11" s="104">
        <f>Tabella1[[#This Row],[Totale]]+(Tabella1[[#This Row],[Totale]]*Tabella1[[#This Row],[Ricarico]])</f>
        <v>0</v>
      </c>
    </row>
    <row r="12" spans="2:20" s="8" customFormat="1" x14ac:dyDescent="0.2">
      <c r="B12" s="77"/>
      <c r="C12" s="16" t="s">
        <v>33</v>
      </c>
      <c r="D12" s="72" t="str">
        <f>IFERROR(VLOOKUP(Tabella2[[#This Row],[Codice Articolo]],#REF!,2,),IFERROR(VLOOKUP(Tabella2[[#This Row],[Codice Articolo]],#REF!,2,),""))</f>
        <v/>
      </c>
      <c r="E12" s="72" t="str">
        <f>IFERROR(VLOOKUP(Tabella2[[#This Row],[Codice Articolo]],#REF!,3,),IFERROR(VLOOKUP(Tabella2[[#This Row],[Codice Articolo]],#REF!,3,),""))</f>
        <v/>
      </c>
      <c r="F12" s="72">
        <v>8</v>
      </c>
      <c r="G12" s="90" t="str">
        <f>IFERROR(VLOOKUP(Tabella2[[#This Row],[Codice Articolo]],#REF!,4,),IFERROR(VLOOKUP(Tabella2[[#This Row],[Codice Articolo]],#REF!,4,),""))</f>
        <v/>
      </c>
      <c r="H12" s="90" t="str">
        <f>IFERROR(Tabella2[[#This Row],[Q.tà]]*Tabella2[[#This Row],[Unitario]],"")</f>
        <v/>
      </c>
      <c r="I12" s="99">
        <v>0.9</v>
      </c>
      <c r="J12" s="88" t="str">
        <f>IFERROR(Tabella2[[#This Row],[Costo Totale]]+(Tabella2[[#This Row],[Costo Totale]]*Tabella2[[#This Row],[Ricarico]]),"")</f>
        <v/>
      </c>
      <c r="L12" s="77"/>
      <c r="M12" s="76"/>
      <c r="N12" s="101"/>
      <c r="O12" s="76"/>
      <c r="P12" s="76">
        <f>Tabella1[[#This Row],[N. Persone]]*Tabella1[[#This Row],[Q.tà (ORE)]]</f>
        <v>0</v>
      </c>
      <c r="Q12" s="102">
        <v>30</v>
      </c>
      <c r="R12" s="78">
        <f>Tabella1[[#This Row],[ORE TOTALI]]*Tabella1[[#This Row],[Unitario]]</f>
        <v>0</v>
      </c>
      <c r="S12" s="103">
        <v>0.5</v>
      </c>
      <c r="T12" s="104">
        <f>Tabella1[[#This Row],[Totale]]+(Tabella1[[#This Row],[Totale]]*Tabella1[[#This Row],[Ricarico]])</f>
        <v>0</v>
      </c>
    </row>
    <row r="13" spans="2:20" s="8" customFormat="1" x14ac:dyDescent="0.2">
      <c r="B13" s="77"/>
      <c r="C13" s="16" t="s">
        <v>34</v>
      </c>
      <c r="D13" s="72" t="str">
        <f>IFERROR(VLOOKUP(Tabella2[[#This Row],[Codice Articolo]],#REF!,2,),IFERROR(VLOOKUP(Tabella2[[#This Row],[Codice Articolo]],#REF!,2,),""))</f>
        <v/>
      </c>
      <c r="E13" s="72" t="str">
        <f>IFERROR(VLOOKUP(Tabella2[[#This Row],[Codice Articolo]],#REF!,3,),IFERROR(VLOOKUP(Tabella2[[#This Row],[Codice Articolo]],#REF!,3,),""))</f>
        <v/>
      </c>
      <c r="F13" s="72">
        <v>4</v>
      </c>
      <c r="G13" s="90" t="str">
        <f>IFERROR(VLOOKUP(Tabella2[[#This Row],[Codice Articolo]],#REF!,4,),IFERROR(VLOOKUP(Tabella2[[#This Row],[Codice Articolo]],#REF!,4,),""))</f>
        <v/>
      </c>
      <c r="H13" s="90" t="str">
        <f>IFERROR(Tabella2[[#This Row],[Q.tà]]*Tabella2[[#This Row],[Unitario]],"")</f>
        <v/>
      </c>
      <c r="I13" s="99">
        <v>0.9</v>
      </c>
      <c r="J13" s="88" t="str">
        <f>IFERROR(Tabella2[[#This Row],[Costo Totale]]+(Tabella2[[#This Row],[Costo Totale]]*Tabella2[[#This Row],[Ricarico]]),"")</f>
        <v/>
      </c>
      <c r="L13" s="77"/>
      <c r="M13" s="76"/>
      <c r="N13" s="101"/>
      <c r="O13" s="76"/>
      <c r="P13" s="76">
        <f>Tabella1[[#This Row],[N. Persone]]*Tabella1[[#This Row],[Q.tà (ORE)]]</f>
        <v>0</v>
      </c>
      <c r="Q13" s="102">
        <v>30</v>
      </c>
      <c r="R13" s="78">
        <f>Tabella1[[#This Row],[ORE TOTALI]]*Tabella1[[#This Row],[Unitario]]</f>
        <v>0</v>
      </c>
      <c r="S13" s="103">
        <v>0.5</v>
      </c>
      <c r="T13" s="104">
        <f>Tabella1[[#This Row],[Totale]]+(Tabella1[[#This Row],[Totale]]*Tabella1[[#This Row],[Ricarico]])</f>
        <v>0</v>
      </c>
    </row>
    <row r="14" spans="2:20" s="8" customFormat="1" ht="15.6" customHeight="1" x14ac:dyDescent="0.2">
      <c r="B14" s="77"/>
      <c r="C14" s="16"/>
      <c r="D14" s="72" t="str">
        <f>IFERROR(VLOOKUP(Tabella2[[#This Row],[Codice Articolo]],#REF!,2,),IFERROR(VLOOKUP(Tabella2[[#This Row],[Codice Articolo]],#REF!,2,),""))</f>
        <v/>
      </c>
      <c r="E14" s="72" t="str">
        <f>IFERROR(VLOOKUP(Tabella2[[#This Row],[Codice Articolo]],#REF!,3,),IFERROR(VLOOKUP(Tabella2[[#This Row],[Codice Articolo]],#REF!,3,),""))</f>
        <v/>
      </c>
      <c r="F14" s="72"/>
      <c r="G14" s="90" t="str">
        <f>IFERROR(VLOOKUP(Tabella2[[#This Row],[Codice Articolo]],#REF!,4,),IFERROR(VLOOKUP(Tabella2[[#This Row],[Codice Articolo]],#REF!,4,),""))</f>
        <v/>
      </c>
      <c r="H14" s="90" t="str">
        <f>IFERROR(Tabella2[[#This Row],[Q.tà]]*Tabella2[[#This Row],[Unitario]],"")</f>
        <v/>
      </c>
      <c r="I14" s="99">
        <v>0.9</v>
      </c>
      <c r="J14" s="88" t="str">
        <f>IFERROR(Tabella2[[#This Row],[Costo Totale]]+(Tabella2[[#This Row],[Costo Totale]]*Tabella2[[#This Row],[Ricarico]]),"")</f>
        <v/>
      </c>
      <c r="L14" s="77"/>
      <c r="M14" s="76"/>
      <c r="N14" s="101"/>
      <c r="O14" s="76"/>
      <c r="P14" s="76">
        <f>Tabella1[[#This Row],[N. Persone]]*Tabella1[[#This Row],[Q.tà (ORE)]]</f>
        <v>0</v>
      </c>
      <c r="Q14" s="102">
        <v>30</v>
      </c>
      <c r="R14" s="78">
        <f>Tabella1[[#This Row],[ORE TOTALI]]*Tabella1[[#This Row],[Unitario]]</f>
        <v>0</v>
      </c>
      <c r="S14" s="103">
        <v>0.5</v>
      </c>
      <c r="T14" s="104">
        <f>Tabella1[[#This Row],[Totale]]+(Tabella1[[#This Row],[Totale]]*Tabella1[[#This Row],[Ricarico]])</f>
        <v>0</v>
      </c>
    </row>
    <row r="15" spans="2:20" s="8" customFormat="1" ht="18" customHeight="1" x14ac:dyDescent="0.2">
      <c r="B15" s="77"/>
      <c r="C15" s="16"/>
      <c r="D15" s="72" t="str">
        <f>IFERROR(VLOOKUP(Tabella2[[#This Row],[Codice Articolo]],#REF!,2,),IFERROR(VLOOKUP(Tabella2[[#This Row],[Codice Articolo]],#REF!,2,),""))</f>
        <v/>
      </c>
      <c r="E15" s="72" t="str">
        <f>IFERROR(VLOOKUP(Tabella2[[#This Row],[Codice Articolo]],#REF!,3,),IFERROR(VLOOKUP(Tabella2[[#This Row],[Codice Articolo]],#REF!,3,),""))</f>
        <v/>
      </c>
      <c r="F15" s="72"/>
      <c r="G15" s="90" t="str">
        <f>IFERROR(VLOOKUP(Tabella2[[#This Row],[Codice Articolo]],#REF!,4,),IFERROR(VLOOKUP(Tabella2[[#This Row],[Codice Articolo]],#REF!,4,),""))</f>
        <v/>
      </c>
      <c r="H15" s="90" t="str">
        <f>IFERROR(Tabella2[[#This Row],[Q.tà]]*Tabella2[[#This Row],[Unitario]],"")</f>
        <v/>
      </c>
      <c r="I15" s="99">
        <v>0.9</v>
      </c>
      <c r="J15" s="88" t="str">
        <f>IFERROR(Tabella2[[#This Row],[Costo Totale]]+(Tabella2[[#This Row],[Costo Totale]]*Tabella2[[#This Row],[Ricarico]]),"")</f>
        <v/>
      </c>
      <c r="L15" s="77"/>
      <c r="M15" s="76"/>
      <c r="N15" s="101"/>
      <c r="O15" s="76"/>
      <c r="P15" s="76">
        <f>Tabella1[[#This Row],[N. Persone]]*Tabella1[[#This Row],[Q.tà (ORE)]]</f>
        <v>0</v>
      </c>
      <c r="Q15" s="102">
        <v>30</v>
      </c>
      <c r="R15" s="78">
        <f>Tabella1[[#This Row],[ORE TOTALI]]*Tabella1[[#This Row],[Unitario]]</f>
        <v>0</v>
      </c>
      <c r="S15" s="103">
        <v>0.5</v>
      </c>
      <c r="T15" s="104">
        <f>Tabella1[[#This Row],[Totale]]+(Tabella1[[#This Row],[Totale]]*Tabella1[[#This Row],[Ricarico]])</f>
        <v>0</v>
      </c>
    </row>
    <row r="16" spans="2:20" s="8" customFormat="1" ht="19.149999999999999" customHeight="1" x14ac:dyDescent="0.2">
      <c r="B16" s="77"/>
      <c r="C16" s="16"/>
      <c r="D16" s="87" t="str">
        <f>IFERROR(VLOOKUP(Tabella2[[#This Row],[Codice Articolo]],#REF!,2,),IFERROR(VLOOKUP(Tabella2[[#This Row],[Codice Articolo]],#REF!,2,),""))</f>
        <v/>
      </c>
      <c r="E16" s="87" t="str">
        <f>IFERROR(VLOOKUP(Tabella2[[#This Row],[Codice Articolo]],#REF!,3,),IFERROR(VLOOKUP(Tabella2[[#This Row],[Codice Articolo]],#REF!,3,),""))</f>
        <v/>
      </c>
      <c r="F16" s="87"/>
      <c r="G16" s="91" t="str">
        <f>IFERROR(VLOOKUP(Tabella2[[#This Row],[Codice Articolo]],#REF!,4,),IFERROR(VLOOKUP(Tabella2[[#This Row],[Codice Articolo]],#REF!,4,),""))</f>
        <v/>
      </c>
      <c r="H16" s="91" t="str">
        <f>IFERROR(Tabella2[[#This Row],[Q.tà]]*Tabella2[[#This Row],[Unitario]],"")</f>
        <v/>
      </c>
      <c r="I16" s="99">
        <v>0.9</v>
      </c>
      <c r="J16" s="89" t="str">
        <f>IFERROR(Tabella2[[#This Row],[Costo Totale]]+(Tabella2[[#This Row],[Costo Totale]]*Tabella2[[#This Row],[Ricarico]]),"")</f>
        <v/>
      </c>
      <c r="L16" s="77"/>
      <c r="M16" s="76"/>
      <c r="N16" s="101"/>
      <c r="O16" s="76"/>
      <c r="P16" s="76">
        <f>Tabella1[[#This Row],[N. Persone]]*Tabella1[[#This Row],[Q.tà (ORE)]]</f>
        <v>0</v>
      </c>
      <c r="Q16" s="102">
        <v>30</v>
      </c>
      <c r="R16" s="78">
        <f>Tabella1[[#This Row],[ORE TOTALI]]*Tabella1[[#This Row],[Unitario]]</f>
        <v>0</v>
      </c>
      <c r="S16" s="103">
        <v>0.5</v>
      </c>
      <c r="T16" s="104">
        <f>Tabella1[[#This Row],[Totale]]+(Tabella1[[#This Row],[Totale]]*Tabella1[[#This Row],[Ricarico]])</f>
        <v>0</v>
      </c>
    </row>
    <row r="17" spans="2:20" s="8" customFormat="1" x14ac:dyDescent="0.2">
      <c r="B17" s="77"/>
      <c r="C17" s="16" t="s">
        <v>35</v>
      </c>
      <c r="D17" s="72" t="str">
        <f>IFERROR(VLOOKUP(Tabella2[[#This Row],[Codice Articolo]],#REF!,2,),IFERROR(VLOOKUP(Tabella2[[#This Row],[Codice Articolo]],#REF!,2,),""))</f>
        <v/>
      </c>
      <c r="E17" s="72" t="str">
        <f>IFERROR(VLOOKUP(Tabella2[[#This Row],[Codice Articolo]],#REF!,3,),IFERROR(VLOOKUP(Tabella2[[#This Row],[Codice Articolo]],#REF!,3,),""))</f>
        <v/>
      </c>
      <c r="F17" s="72">
        <v>16</v>
      </c>
      <c r="G17" s="90" t="str">
        <f>IFERROR(VLOOKUP(Tabella2[[#This Row],[Codice Articolo]],#REF!,4,),IFERROR(VLOOKUP(Tabella2[[#This Row],[Codice Articolo]],#REF!,4,),""))</f>
        <v/>
      </c>
      <c r="H17" s="90" t="str">
        <f>IFERROR(Tabella2[[#This Row],[Q.tà]]*Tabella2[[#This Row],[Unitario]],"")</f>
        <v/>
      </c>
      <c r="I17" s="99">
        <v>0.9</v>
      </c>
      <c r="J17" s="88" t="str">
        <f>IFERROR(Tabella2[[#This Row],[Costo Totale]]+(Tabella2[[#This Row],[Costo Totale]]*Tabella2[[#This Row],[Ricarico]]),"")</f>
        <v/>
      </c>
      <c r="L17" s="77"/>
      <c r="M17" s="76"/>
      <c r="N17" s="101"/>
      <c r="O17" s="76"/>
      <c r="P17" s="76">
        <f>Tabella1[[#This Row],[N. Persone]]*Tabella1[[#This Row],[Q.tà (ORE)]]</f>
        <v>0</v>
      </c>
      <c r="Q17" s="102">
        <v>30</v>
      </c>
      <c r="R17" s="78">
        <f>Tabella1[[#This Row],[ORE TOTALI]]*Tabella1[[#This Row],[Unitario]]</f>
        <v>0</v>
      </c>
      <c r="S17" s="103">
        <v>0.5</v>
      </c>
      <c r="T17" s="104">
        <f>Tabella1[[#This Row],[Totale]]+(Tabella1[[#This Row],[Totale]]*Tabella1[[#This Row],[Ricarico]])</f>
        <v>0</v>
      </c>
    </row>
    <row r="18" spans="2:20" s="8" customFormat="1" x14ac:dyDescent="0.2">
      <c r="B18" s="77"/>
      <c r="C18" s="110"/>
      <c r="D18" s="72" t="str">
        <f>IFERROR(VLOOKUP(Tabella2[[#This Row],[Codice Articolo]],#REF!,2,),IFERROR(VLOOKUP(Tabella2[[#This Row],[Codice Articolo]],#REF!,2,),""))</f>
        <v/>
      </c>
      <c r="E18" s="72" t="str">
        <f>IFERROR(VLOOKUP(Tabella2[[#This Row],[Codice Articolo]],#REF!,3,),IFERROR(VLOOKUP(Tabella2[[#This Row],[Codice Articolo]],#REF!,3,),""))</f>
        <v/>
      </c>
      <c r="F18" s="72"/>
      <c r="G18" s="90" t="str">
        <f>IFERROR(VLOOKUP(Tabella2[[#This Row],[Codice Articolo]],#REF!,4,),IFERROR(VLOOKUP(Tabella2[[#This Row],[Codice Articolo]],#REF!,4,),""))</f>
        <v/>
      </c>
      <c r="H18" s="90" t="str">
        <f>IFERROR(Tabella2[[#This Row],[Q.tà]]*Tabella2[[#This Row],[Unitario]],"")</f>
        <v/>
      </c>
      <c r="I18" s="99">
        <v>0.9</v>
      </c>
      <c r="J18" s="88" t="str">
        <f>IFERROR(Tabella2[[#This Row],[Costo Totale]]+(Tabella2[[#This Row],[Costo Totale]]*Tabella2[[#This Row],[Ricarico]]),"")</f>
        <v/>
      </c>
      <c r="L18" s="77"/>
      <c r="M18" s="76"/>
      <c r="N18" s="101"/>
      <c r="O18" s="76"/>
      <c r="P18" s="76">
        <f>Tabella1[[#This Row],[N. Persone]]*Tabella1[[#This Row],[Q.tà (ORE)]]</f>
        <v>0</v>
      </c>
      <c r="Q18" s="102">
        <v>30</v>
      </c>
      <c r="R18" s="78">
        <f>Tabella1[[#This Row],[ORE TOTALI]]*Tabella1[[#This Row],[Unitario]]</f>
        <v>0</v>
      </c>
      <c r="S18" s="103">
        <v>0.5</v>
      </c>
      <c r="T18" s="104">
        <f>Tabella1[[#This Row],[Totale]]+(Tabella1[[#This Row],[Totale]]*Tabella1[[#This Row],[Ricarico]])</f>
        <v>0</v>
      </c>
    </row>
    <row r="19" spans="2:20" s="8" customFormat="1" x14ac:dyDescent="0.2">
      <c r="B19" s="77"/>
      <c r="C19" s="110"/>
      <c r="D19" s="72" t="str">
        <f>IFERROR(VLOOKUP(Tabella2[[#This Row],[Codice Articolo]],#REF!,2,),IFERROR(VLOOKUP(Tabella2[[#This Row],[Codice Articolo]],#REF!,2,),""))</f>
        <v/>
      </c>
      <c r="E19" s="72" t="str">
        <f>IFERROR(VLOOKUP(Tabella2[[#This Row],[Codice Articolo]],#REF!,3,),IFERROR(VLOOKUP(Tabella2[[#This Row],[Codice Articolo]],#REF!,3,),""))</f>
        <v/>
      </c>
      <c r="F19" s="72"/>
      <c r="G19" s="90" t="str">
        <f>IFERROR(VLOOKUP(Tabella2[[#This Row],[Codice Articolo]],#REF!,4,),IFERROR(VLOOKUP(Tabella2[[#This Row],[Codice Articolo]],#REF!,4,),""))</f>
        <v/>
      </c>
      <c r="H19" s="90" t="str">
        <f>IFERROR(Tabella2[[#This Row],[Q.tà]]*Tabella2[[#This Row],[Unitario]],"")</f>
        <v/>
      </c>
      <c r="I19" s="99">
        <v>0.9</v>
      </c>
      <c r="J19" s="88" t="str">
        <f>IFERROR(Tabella2[[#This Row],[Costo Totale]]+(Tabella2[[#This Row],[Costo Totale]]*Tabella2[[#This Row],[Ricarico]]),"")</f>
        <v/>
      </c>
      <c r="L19" s="77"/>
      <c r="M19" s="76"/>
      <c r="N19" s="101"/>
      <c r="O19" s="76"/>
      <c r="P19" s="76">
        <f>Tabella1[[#This Row],[N. Persone]]*Tabella1[[#This Row],[Q.tà (ORE)]]</f>
        <v>0</v>
      </c>
      <c r="Q19" s="102">
        <v>30</v>
      </c>
      <c r="R19" s="78">
        <f>Tabella1[[#This Row],[ORE TOTALI]]*Tabella1[[#This Row],[Unitario]]</f>
        <v>0</v>
      </c>
      <c r="S19" s="103">
        <v>0.5</v>
      </c>
      <c r="T19" s="104">
        <f>Tabella1[[#This Row],[Totale]]+(Tabella1[[#This Row],[Totale]]*Tabella1[[#This Row],[Ricarico]])</f>
        <v>0</v>
      </c>
    </row>
    <row r="20" spans="2:20" s="8" customFormat="1" x14ac:dyDescent="0.2">
      <c r="B20" s="77"/>
      <c r="C20" s="110"/>
      <c r="D20" s="72" t="str">
        <f>IFERROR(VLOOKUP(Tabella2[[#This Row],[Codice Articolo]],#REF!,2,),IFERROR(VLOOKUP(Tabella2[[#This Row],[Codice Articolo]],#REF!,2,),""))</f>
        <v/>
      </c>
      <c r="E20" s="72" t="str">
        <f>IFERROR(VLOOKUP(Tabella2[[#This Row],[Codice Articolo]],#REF!,3,),IFERROR(VLOOKUP(Tabella2[[#This Row],[Codice Articolo]],#REF!,3,),""))</f>
        <v/>
      </c>
      <c r="F20" s="72"/>
      <c r="G20" s="90" t="str">
        <f>IFERROR(VLOOKUP(Tabella2[[#This Row],[Codice Articolo]],#REF!,4,),IFERROR(VLOOKUP(Tabella2[[#This Row],[Codice Articolo]],#REF!,4,),""))</f>
        <v/>
      </c>
      <c r="H20" s="90" t="str">
        <f>IFERROR(Tabella2[[#This Row],[Q.tà]]*Tabella2[[#This Row],[Unitario]],"")</f>
        <v/>
      </c>
      <c r="I20" s="99">
        <v>0.9</v>
      </c>
      <c r="J20" s="88" t="str">
        <f>IFERROR(Tabella2[[#This Row],[Costo Totale]]+(Tabella2[[#This Row],[Costo Totale]]*Tabella2[[#This Row],[Ricarico]]),"")</f>
        <v/>
      </c>
      <c r="L20" s="77"/>
      <c r="M20" s="76"/>
      <c r="N20" s="101"/>
      <c r="O20" s="76"/>
      <c r="P20" s="76">
        <f>Tabella1[[#This Row],[N. Persone]]*Tabella1[[#This Row],[Q.tà (ORE)]]</f>
        <v>0</v>
      </c>
      <c r="Q20" s="102">
        <v>30</v>
      </c>
      <c r="R20" s="78">
        <f>Tabella1[[#This Row],[ORE TOTALI]]*Tabella1[[#This Row],[Unitario]]</f>
        <v>0</v>
      </c>
      <c r="S20" s="103">
        <v>0.5</v>
      </c>
      <c r="T20" s="104">
        <f>Tabella1[[#This Row],[Totale]]+(Tabella1[[#This Row],[Totale]]*Tabella1[[#This Row],[Ricarico]])</f>
        <v>0</v>
      </c>
    </row>
    <row r="21" spans="2:20" s="8" customFormat="1" x14ac:dyDescent="0.2">
      <c r="B21" s="77"/>
      <c r="C21" s="112"/>
      <c r="D21" s="87" t="str">
        <f>IFERROR(VLOOKUP(Tabella2[[#This Row],[Codice Articolo]],#REF!,2,),IFERROR(VLOOKUP(Tabella2[[#This Row],[Codice Articolo]],#REF!,2,),""))</f>
        <v/>
      </c>
      <c r="E21" s="87" t="str">
        <f>IFERROR(VLOOKUP(Tabella2[[#This Row],[Codice Articolo]],#REF!,3,),IFERROR(VLOOKUP(Tabella2[[#This Row],[Codice Articolo]],#REF!,3,),""))</f>
        <v/>
      </c>
      <c r="F21" s="87"/>
      <c r="G21" s="91" t="str">
        <f>IFERROR(VLOOKUP(Tabella2[[#This Row],[Codice Articolo]],#REF!,4,),IFERROR(VLOOKUP(Tabella2[[#This Row],[Codice Articolo]],#REF!,4,),""))</f>
        <v/>
      </c>
      <c r="H21" s="91" t="str">
        <f>IFERROR(Tabella2[[#This Row],[Q.tà]]*Tabella2[[#This Row],[Unitario]],"")</f>
        <v/>
      </c>
      <c r="I21" s="99">
        <v>0.9</v>
      </c>
      <c r="J21" s="89" t="str">
        <f>IFERROR(Tabella2[[#This Row],[Costo Totale]]+(Tabella2[[#This Row],[Costo Totale]]*Tabella2[[#This Row],[Ricarico]]),"")</f>
        <v/>
      </c>
      <c r="L21" s="77"/>
      <c r="M21" s="76"/>
      <c r="N21" s="101"/>
      <c r="O21" s="76"/>
      <c r="P21" s="76">
        <f>Tabella1[[#This Row],[N. Persone]]*Tabella1[[#This Row],[Q.tà (ORE)]]</f>
        <v>0</v>
      </c>
      <c r="Q21" s="102">
        <v>30</v>
      </c>
      <c r="R21" s="78">
        <f>Tabella1[[#This Row],[ORE TOTALI]]*Tabella1[[#This Row],[Unitario]]</f>
        <v>0</v>
      </c>
      <c r="S21" s="103">
        <v>0.5</v>
      </c>
      <c r="T21" s="104">
        <f>Tabella1[[#This Row],[Totale]]+(Tabella1[[#This Row],[Totale]]*Tabella1[[#This Row],[Ricarico]])</f>
        <v>0</v>
      </c>
    </row>
    <row r="22" spans="2:20" s="8" customFormat="1" x14ac:dyDescent="0.2">
      <c r="B22" s="77"/>
      <c r="C22" s="112"/>
      <c r="D22" s="72" t="str">
        <f>IFERROR(VLOOKUP(Tabella2[[#This Row],[Codice Articolo]],#REF!,2,),IFERROR(VLOOKUP(Tabella2[[#This Row],[Codice Articolo]],#REF!,2,),""))</f>
        <v/>
      </c>
      <c r="E22" s="72" t="str">
        <f>IFERROR(VLOOKUP(Tabella2[[#This Row],[Codice Articolo]],#REF!,3,),IFERROR(VLOOKUP(Tabella2[[#This Row],[Codice Articolo]],#REF!,3,),""))</f>
        <v/>
      </c>
      <c r="F22" s="72"/>
      <c r="G22" s="90" t="str">
        <f>IFERROR(VLOOKUP(Tabella2[[#This Row],[Codice Articolo]],#REF!,4,),IFERROR(VLOOKUP(Tabella2[[#This Row],[Codice Articolo]],#REF!,4,),""))</f>
        <v/>
      </c>
      <c r="H22" s="90" t="str">
        <f>IFERROR(Tabella2[[#This Row],[Q.tà]]*Tabella2[[#This Row],[Unitario]],"")</f>
        <v/>
      </c>
      <c r="I22" s="99">
        <v>0.9</v>
      </c>
      <c r="J22" s="88" t="str">
        <f>IFERROR(Tabella2[[#This Row],[Costo Totale]]+(Tabella2[[#This Row],[Costo Totale]]*Tabella2[[#This Row],[Ricarico]]),"")</f>
        <v/>
      </c>
      <c r="L22" s="77"/>
      <c r="M22" s="76"/>
      <c r="N22" s="101"/>
      <c r="O22" s="76"/>
      <c r="P22" s="76">
        <f>Tabella1[[#This Row],[N. Persone]]*Tabella1[[#This Row],[Q.tà (ORE)]]</f>
        <v>0</v>
      </c>
      <c r="Q22" s="102">
        <v>30</v>
      </c>
      <c r="R22" s="78">
        <f>Tabella1[[#This Row],[ORE TOTALI]]*Tabella1[[#This Row],[Unitario]]</f>
        <v>0</v>
      </c>
      <c r="S22" s="103">
        <v>0.5</v>
      </c>
      <c r="T22" s="104">
        <f>Tabella1[[#This Row],[Totale]]+(Tabella1[[#This Row],[Totale]]*Tabella1[[#This Row],[Ricarico]])</f>
        <v>0</v>
      </c>
    </row>
    <row r="23" spans="2:20" s="8" customFormat="1" x14ac:dyDescent="0.2">
      <c r="B23" s="79"/>
      <c r="C23" s="111"/>
      <c r="D23" s="87" t="str">
        <f>IFERROR(VLOOKUP(Tabella2[[#This Row],[Codice Articolo]],#REF!,2,),IFERROR(VLOOKUP(Tabella2[[#This Row],[Codice Articolo]],#REF!,2,),""))</f>
        <v/>
      </c>
      <c r="E23" s="87" t="str">
        <f>IFERROR(VLOOKUP(Tabella2[[#This Row],[Codice Articolo]],#REF!,3,),IFERROR(VLOOKUP(Tabella2[[#This Row],[Codice Articolo]],#REF!,3,),""))</f>
        <v/>
      </c>
      <c r="F23" s="87"/>
      <c r="G23" s="91" t="str">
        <f>IFERROR(VLOOKUP(Tabella2[[#This Row],[Codice Articolo]],#REF!,4,),IFERROR(VLOOKUP(Tabella2[[#This Row],[Codice Articolo]],#REF!,4,),""))</f>
        <v/>
      </c>
      <c r="H23" s="91" t="str">
        <f>IFERROR(Tabella2[[#This Row],[Q.tà]]*Tabella2[[#This Row],[Unitario]],"")</f>
        <v/>
      </c>
      <c r="I23" s="99">
        <v>0.9</v>
      </c>
      <c r="J23" s="89" t="str">
        <f>IFERROR(Tabella2[[#This Row],[Costo Totale]]+(Tabella2[[#This Row],[Costo Totale]]*Tabella2[[#This Row],[Ricarico]]),"")</f>
        <v/>
      </c>
      <c r="L23" s="77"/>
      <c r="M23" s="76"/>
      <c r="N23" s="101"/>
      <c r="O23" s="76"/>
      <c r="P23" s="76">
        <f>Tabella1[[#This Row],[N. Persone]]*Tabella1[[#This Row],[Q.tà (ORE)]]</f>
        <v>0</v>
      </c>
      <c r="Q23" s="102">
        <v>30</v>
      </c>
      <c r="R23" s="78">
        <f>Tabella1[[#This Row],[ORE TOTALI]]*Tabella1[[#This Row],[Unitario]]</f>
        <v>0</v>
      </c>
      <c r="S23" s="103">
        <v>0.5</v>
      </c>
      <c r="T23" s="104">
        <f>Tabella1[[#This Row],[Totale]]+(Tabella1[[#This Row],[Totale]]*Tabella1[[#This Row],[Ricarico]])</f>
        <v>0</v>
      </c>
    </row>
    <row r="24" spans="2:20" s="8" customFormat="1" ht="15" thickBot="1" x14ac:dyDescent="0.25">
      <c r="B24" s="77"/>
      <c r="C24" s="110"/>
      <c r="D24" s="72" t="str">
        <f>IFERROR(VLOOKUP(Tabella2[[#This Row],[Codice Articolo]],#REF!,2,),IFERROR(VLOOKUP(Tabella2[[#This Row],[Codice Articolo]],#REF!,2,),""))</f>
        <v/>
      </c>
      <c r="E24" s="72" t="str">
        <f>IFERROR(VLOOKUP(Tabella2[[#This Row],[Codice Articolo]],#REF!,3,),IFERROR(VLOOKUP(Tabella2[[#This Row],[Codice Articolo]],#REF!,3,),""))</f>
        <v/>
      </c>
      <c r="F24" s="72"/>
      <c r="G24" s="90" t="str">
        <f>IFERROR(VLOOKUP(Tabella2[[#This Row],[Codice Articolo]],#REF!,4,),IFERROR(VLOOKUP(Tabella2[[#This Row],[Codice Articolo]],#REF!,4,),""))</f>
        <v/>
      </c>
      <c r="H24" s="90" t="str">
        <f>IFERROR(Tabella2[[#This Row],[Q.tà]]*Tabella2[[#This Row],[Unitario]],"")</f>
        <v/>
      </c>
      <c r="I24" s="99">
        <v>0.9</v>
      </c>
      <c r="J24" s="88" t="str">
        <f>IFERROR(Tabella2[[#This Row],[Costo Totale]]+(Tabella2[[#This Row],[Costo Totale]]*Tabella2[[#This Row],[Ricarico]]),"")</f>
        <v/>
      </c>
      <c r="L24" s="79"/>
      <c r="M24" s="80"/>
      <c r="N24" s="80"/>
      <c r="O24" s="100"/>
      <c r="P24" s="76">
        <f>Tabella1[[#This Row],[N. Persone]]*Tabella1[[#This Row],[Q.tà (ORE)]]</f>
        <v>0</v>
      </c>
      <c r="Q24" s="102">
        <v>30</v>
      </c>
      <c r="R24" s="78">
        <f>Tabella1[[#This Row],[ORE TOTALI]]*Tabella1[[#This Row],[Unitario]]</f>
        <v>0</v>
      </c>
      <c r="S24" s="103">
        <v>0.5</v>
      </c>
      <c r="T24" s="104">
        <f>Tabella1[[#This Row],[Totale]]+(Tabella1[[#This Row],[Totale]]*Tabella1[[#This Row],[Ricarico]])</f>
        <v>0</v>
      </c>
    </row>
    <row r="25" spans="2:20" s="8" customFormat="1" ht="15" thickBot="1" x14ac:dyDescent="0.25">
      <c r="B25" s="77"/>
      <c r="C25" s="110"/>
      <c r="D25" s="72" t="str">
        <f>IFERROR(VLOOKUP(Tabella2[[#This Row],[Codice Articolo]],#REF!,2,),IFERROR(VLOOKUP(Tabella2[[#This Row],[Codice Articolo]],#REF!,2,),""))</f>
        <v/>
      </c>
      <c r="E25" s="72" t="str">
        <f>IFERROR(VLOOKUP(Tabella2[[#This Row],[Codice Articolo]],#REF!,3,),IFERROR(VLOOKUP(Tabella2[[#This Row],[Codice Articolo]],#REF!,3,),""))</f>
        <v/>
      </c>
      <c r="F25" s="72"/>
      <c r="G25" s="90" t="str">
        <f>IFERROR(VLOOKUP(Tabella2[[#This Row],[Codice Articolo]],#REF!,4,),IFERROR(VLOOKUP(Tabella2[[#This Row],[Codice Articolo]],#REF!,4,),""))</f>
        <v/>
      </c>
      <c r="H25" s="90" t="str">
        <f>IFERROR(Tabella2[[#This Row],[Q.tà]]*Tabella2[[#This Row],[Unitario]],"")</f>
        <v/>
      </c>
      <c r="I25" s="99">
        <v>0.9</v>
      </c>
      <c r="J25" s="88" t="str">
        <f>IFERROR(Tabella2[[#This Row],[Costo Totale]]+(Tabella2[[#This Row],[Costo Totale]]*Tabella2[[#This Row],[Ricarico]]),"")</f>
        <v/>
      </c>
      <c r="L25" s="81" t="s">
        <v>6</v>
      </c>
      <c r="M25" s="82"/>
      <c r="N25" s="83"/>
      <c r="O25" s="84"/>
      <c r="P25" s="84">
        <f>SUBTOTAL(109,Tabella1[ORE TOTALI])</f>
        <v>0</v>
      </c>
      <c r="Q25" s="85"/>
      <c r="R25" s="86">
        <f>SUBTOTAL(109,Tabella1[Totale])</f>
        <v>0</v>
      </c>
      <c r="S25" s="85"/>
      <c r="T25" s="86">
        <f>SUBTOTAL(109,Tabella1[Vendita])</f>
        <v>0</v>
      </c>
    </row>
    <row r="26" spans="2:20" s="8" customFormat="1" x14ac:dyDescent="0.2">
      <c r="B26" s="77"/>
      <c r="C26" s="110"/>
      <c r="D26" s="72" t="str">
        <f>IFERROR(VLOOKUP(Tabella2[[#This Row],[Codice Articolo]],#REF!,2,),IFERROR(VLOOKUP(Tabella2[[#This Row],[Codice Articolo]],#REF!,2,),""))</f>
        <v/>
      </c>
      <c r="E26" s="72" t="str">
        <f>IFERROR(VLOOKUP(Tabella2[[#This Row],[Codice Articolo]],#REF!,3,),IFERROR(VLOOKUP(Tabella2[[#This Row],[Codice Articolo]],#REF!,3,),""))</f>
        <v/>
      </c>
      <c r="F26" s="72"/>
      <c r="G26" s="90" t="str">
        <f>IFERROR(VLOOKUP(Tabella2[[#This Row],[Codice Articolo]],#REF!,4,),IFERROR(VLOOKUP(Tabella2[[#This Row],[Codice Articolo]],#REF!,4,),""))</f>
        <v/>
      </c>
      <c r="H26" s="90" t="str">
        <f>IFERROR(Tabella2[[#This Row],[Q.tà]]*Tabella2[[#This Row],[Unitario]],"")</f>
        <v/>
      </c>
      <c r="I26" s="99">
        <v>0.9</v>
      </c>
      <c r="J26" s="88" t="str">
        <f>IFERROR(Tabella2[[#This Row],[Costo Totale]]+(Tabella2[[#This Row],[Costo Totale]]*Tabella2[[#This Row],[Ricarico]]),"")</f>
        <v/>
      </c>
    </row>
    <row r="27" spans="2:20" s="8" customFormat="1" x14ac:dyDescent="0.2">
      <c r="B27" s="77"/>
      <c r="C27" s="110"/>
      <c r="D27" s="72" t="str">
        <f>IFERROR(VLOOKUP(Tabella2[[#This Row],[Codice Articolo]],#REF!,2,),IFERROR(VLOOKUP(Tabella2[[#This Row],[Codice Articolo]],#REF!,2,),""))</f>
        <v/>
      </c>
      <c r="E27" s="72" t="str">
        <f>IFERROR(VLOOKUP(Tabella2[[#This Row],[Codice Articolo]],#REF!,3,),IFERROR(VLOOKUP(Tabella2[[#This Row],[Codice Articolo]],#REF!,3,),""))</f>
        <v/>
      </c>
      <c r="F27" s="72"/>
      <c r="G27" s="90" t="str">
        <f>IFERROR(VLOOKUP(Tabella2[[#This Row],[Codice Articolo]],#REF!,4,),IFERROR(VLOOKUP(Tabella2[[#This Row],[Codice Articolo]],#REF!,4,),""))</f>
        <v/>
      </c>
      <c r="H27" s="90" t="str">
        <f>IFERROR(Tabella2[[#This Row],[Q.tà]]*Tabella2[[#This Row],[Unitario]],"")</f>
        <v/>
      </c>
      <c r="I27" s="99">
        <v>0.9</v>
      </c>
      <c r="J27" s="88" t="str">
        <f>IFERROR(Tabella2[[#This Row],[Costo Totale]]+(Tabella2[[#This Row],[Costo Totale]]*Tabella2[[#This Row],[Ricarico]]),"")</f>
        <v/>
      </c>
    </row>
    <row r="28" spans="2:20" s="8" customFormat="1" x14ac:dyDescent="0.2">
      <c r="B28" s="79"/>
      <c r="C28" s="111"/>
      <c r="D28" s="87" t="str">
        <f>IFERROR(VLOOKUP(Tabella2[[#This Row],[Codice Articolo]],#REF!,2,),IFERROR(VLOOKUP(Tabella2[[#This Row],[Codice Articolo]],#REF!,2,),""))</f>
        <v/>
      </c>
      <c r="E28" s="87" t="str">
        <f>IFERROR(VLOOKUP(Tabella2[[#This Row],[Codice Articolo]],#REF!,3,),IFERROR(VLOOKUP(Tabella2[[#This Row],[Codice Articolo]],#REF!,3,),""))</f>
        <v/>
      </c>
      <c r="F28" s="87"/>
      <c r="G28" s="91" t="str">
        <f>IFERROR(VLOOKUP(Tabella2[[#This Row],[Codice Articolo]],#REF!,4,),IFERROR(VLOOKUP(Tabella2[[#This Row],[Codice Articolo]],#REF!,4,),""))</f>
        <v/>
      </c>
      <c r="H28" s="91" t="str">
        <f>IFERROR(Tabella2[[#This Row],[Q.tà]]*Tabella2[[#This Row],[Unitario]],"")</f>
        <v/>
      </c>
      <c r="I28" s="99">
        <v>0.9</v>
      </c>
      <c r="J28" s="89" t="str">
        <f>IFERROR(Tabella2[[#This Row],[Costo Totale]]+(Tabella2[[#This Row],[Costo Totale]]*Tabella2[[#This Row],[Ricarico]]),"")</f>
        <v/>
      </c>
    </row>
    <row r="29" spans="2:20" s="8" customFormat="1" x14ac:dyDescent="0.2">
      <c r="B29" s="77"/>
      <c r="C29" s="110"/>
      <c r="D29" s="72" t="str">
        <f>IFERROR(VLOOKUP(Tabella2[[#This Row],[Codice Articolo]],#REF!,2,),IFERROR(VLOOKUP(Tabella2[[#This Row],[Codice Articolo]],#REF!,2,),""))</f>
        <v/>
      </c>
      <c r="E29" s="72" t="str">
        <f>IFERROR(VLOOKUP(Tabella2[[#This Row],[Codice Articolo]],#REF!,3,),IFERROR(VLOOKUP(Tabella2[[#This Row],[Codice Articolo]],#REF!,3,),""))</f>
        <v/>
      </c>
      <c r="F29" s="72"/>
      <c r="G29" s="90" t="str">
        <f>IFERROR(VLOOKUP(Tabella2[[#This Row],[Codice Articolo]],#REF!,4,),IFERROR(VLOOKUP(Tabella2[[#This Row],[Codice Articolo]],#REF!,4,),""))</f>
        <v/>
      </c>
      <c r="H29" s="90" t="str">
        <f>IFERROR(Tabella2[[#This Row],[Q.tà]]*Tabella2[[#This Row],[Unitario]],"")</f>
        <v/>
      </c>
      <c r="I29" s="99">
        <v>0.9</v>
      </c>
      <c r="J29" s="88" t="str">
        <f>IFERROR(Tabella2[[#This Row],[Costo Totale]]+(Tabella2[[#This Row],[Costo Totale]]*Tabella2[[#This Row],[Ricarico]]),"")</f>
        <v/>
      </c>
    </row>
    <row r="30" spans="2:20" s="8" customFormat="1" x14ac:dyDescent="0.2">
      <c r="B30" s="77"/>
      <c r="C30" s="110"/>
      <c r="D30" s="72" t="str">
        <f>IFERROR(VLOOKUP(Tabella2[[#This Row],[Codice Articolo]],#REF!,2,),IFERROR(VLOOKUP(Tabella2[[#This Row],[Codice Articolo]],#REF!,2,),""))</f>
        <v/>
      </c>
      <c r="E30" s="72" t="str">
        <f>IFERROR(VLOOKUP(Tabella2[[#This Row],[Codice Articolo]],#REF!,3,),IFERROR(VLOOKUP(Tabella2[[#This Row],[Codice Articolo]],#REF!,3,),""))</f>
        <v/>
      </c>
      <c r="F30" s="72"/>
      <c r="G30" s="90" t="str">
        <f>IFERROR(VLOOKUP(Tabella2[[#This Row],[Codice Articolo]],#REF!,4,),IFERROR(VLOOKUP(Tabella2[[#This Row],[Codice Articolo]],#REF!,4,),""))</f>
        <v/>
      </c>
      <c r="H30" s="90" t="str">
        <f>IFERROR(Tabella2[[#This Row],[Q.tà]]*Tabella2[[#This Row],[Unitario]],"")</f>
        <v/>
      </c>
      <c r="I30" s="99">
        <v>0.9</v>
      </c>
      <c r="J30" s="88" t="str">
        <f>IFERROR(Tabella2[[#This Row],[Costo Totale]]+(Tabella2[[#This Row],[Costo Totale]]*Tabella2[[#This Row],[Ricarico]]),"")</f>
        <v/>
      </c>
    </row>
    <row r="31" spans="2:20" s="8" customFormat="1" x14ac:dyDescent="0.2">
      <c r="B31" s="77"/>
      <c r="C31" s="110"/>
      <c r="D31" s="72" t="str">
        <f>IFERROR(VLOOKUP(Tabella2[[#This Row],[Codice Articolo]],#REF!,2,),IFERROR(VLOOKUP(Tabella2[[#This Row],[Codice Articolo]],#REF!,2,),""))</f>
        <v/>
      </c>
      <c r="E31" s="72" t="str">
        <f>IFERROR(VLOOKUP(Tabella2[[#This Row],[Codice Articolo]],#REF!,3,),IFERROR(VLOOKUP(Tabella2[[#This Row],[Codice Articolo]],#REF!,3,),""))</f>
        <v/>
      </c>
      <c r="F31" s="72"/>
      <c r="G31" s="90" t="str">
        <f>IFERROR(VLOOKUP(Tabella2[[#This Row],[Codice Articolo]],#REF!,4,),IFERROR(VLOOKUP(Tabella2[[#This Row],[Codice Articolo]],#REF!,4,),""))</f>
        <v/>
      </c>
      <c r="H31" s="90" t="str">
        <f>IFERROR(Tabella2[[#This Row],[Q.tà]]*Tabella2[[#This Row],[Unitario]],"")</f>
        <v/>
      </c>
      <c r="I31" s="99">
        <v>0.9</v>
      </c>
      <c r="J31" s="88" t="str">
        <f>IFERROR(Tabella2[[#This Row],[Costo Totale]]+(Tabella2[[#This Row],[Costo Totale]]*Tabella2[[#This Row],[Ricarico]]),"")</f>
        <v/>
      </c>
    </row>
    <row r="32" spans="2:20" s="8" customFormat="1" x14ac:dyDescent="0.2">
      <c r="B32" s="77"/>
      <c r="C32" s="110"/>
      <c r="D32" s="72" t="str">
        <f>IFERROR(VLOOKUP(Tabella2[[#This Row],[Codice Articolo]],#REF!,2,),IFERROR(VLOOKUP(Tabella2[[#This Row],[Codice Articolo]],#REF!,2,),""))</f>
        <v/>
      </c>
      <c r="E32" s="72" t="str">
        <f>IFERROR(VLOOKUP(Tabella2[[#This Row],[Codice Articolo]],#REF!,3,),IFERROR(VLOOKUP(Tabella2[[#This Row],[Codice Articolo]],#REF!,3,),""))</f>
        <v/>
      </c>
      <c r="F32" s="72"/>
      <c r="G32" s="90" t="str">
        <f>IFERROR(VLOOKUP(Tabella2[[#This Row],[Codice Articolo]],#REF!,4,),IFERROR(VLOOKUP(Tabella2[[#This Row],[Codice Articolo]],#REF!,4,),""))</f>
        <v/>
      </c>
      <c r="H32" s="90" t="str">
        <f>IFERROR(Tabella2[[#This Row],[Q.tà]]*Tabella2[[#This Row],[Unitario]],"")</f>
        <v/>
      </c>
      <c r="I32" s="99">
        <v>0.9</v>
      </c>
      <c r="J32" s="88" t="str">
        <f>IFERROR(Tabella2[[#This Row],[Costo Totale]]+(Tabella2[[#This Row],[Costo Totale]]*Tabella2[[#This Row],[Ricarico]]),"")</f>
        <v/>
      </c>
    </row>
    <row r="33" spans="2:10" s="8" customFormat="1" ht="15" thickBot="1" x14ac:dyDescent="0.25">
      <c r="B33" s="79"/>
      <c r="C33" s="111"/>
      <c r="D33" s="87" t="str">
        <f>IFERROR(VLOOKUP(Tabella2[[#This Row],[Codice Articolo]],#REF!,2,),IFERROR(VLOOKUP(Tabella2[[#This Row],[Codice Articolo]],#REF!,2,),""))</f>
        <v/>
      </c>
      <c r="E33" s="87" t="str">
        <f>IFERROR(VLOOKUP(Tabella2[[#This Row],[Codice Articolo]],#REF!,3,),IFERROR(VLOOKUP(Tabella2[[#This Row],[Codice Articolo]],#REF!,3,),""))</f>
        <v/>
      </c>
      <c r="F33" s="87"/>
      <c r="G33" s="91" t="str">
        <f>IFERROR(VLOOKUP(Tabella2[[#This Row],[Codice Articolo]],#REF!,4,),IFERROR(VLOOKUP(Tabella2[[#This Row],[Codice Articolo]],#REF!,4,),""))</f>
        <v/>
      </c>
      <c r="H33" s="91" t="str">
        <f>IFERROR(Tabella2[[#This Row],[Q.tà]]*Tabella2[[#This Row],[Unitario]],"")</f>
        <v/>
      </c>
      <c r="I33" s="113"/>
      <c r="J33" s="89" t="str">
        <f>IFERROR(Tabella2[[#This Row],[Costo Totale]]+(Tabella2[[#This Row],[Costo Totale]]*Tabella2[[#This Row],[Ricarico]]),"")</f>
        <v/>
      </c>
    </row>
    <row r="34" spans="2:10" s="8" customFormat="1" ht="15" thickBot="1" x14ac:dyDescent="0.25">
      <c r="B34" s="92" t="s">
        <v>6</v>
      </c>
      <c r="C34" s="93"/>
      <c r="D34" s="94"/>
      <c r="E34" s="95"/>
      <c r="F34" s="95"/>
      <c r="G34" s="96"/>
      <c r="H34" s="97">
        <f>SUBTOTAL(109,Tabella2[Costo Totale])</f>
        <v>0</v>
      </c>
      <c r="I34" s="84"/>
      <c r="J34" s="97">
        <f>SUBTOTAL(109,Tabella2[Vendita])</f>
        <v>0</v>
      </c>
    </row>
    <row r="35" spans="2:10" s="8" customFormat="1" x14ac:dyDescent="0.25">
      <c r="B35" s="1"/>
      <c r="C35" s="1"/>
      <c r="D35" s="1"/>
      <c r="E35" s="2"/>
      <c r="F35" s="3"/>
      <c r="G35" s="1"/>
      <c r="H35" s="1"/>
      <c r="I35" s="1"/>
      <c r="J35" s="1"/>
    </row>
    <row r="36" spans="2:10" s="8" customFormat="1" x14ac:dyDescent="0.25">
      <c r="B36" s="1"/>
      <c r="C36" s="1"/>
      <c r="D36" s="1"/>
      <c r="E36" s="2"/>
      <c r="F36" s="3"/>
      <c r="G36" s="1"/>
      <c r="H36" s="1"/>
      <c r="I36" s="1"/>
      <c r="J36" s="1"/>
    </row>
    <row r="37" spans="2:10" s="8" customFormat="1" ht="15.6" customHeight="1" x14ac:dyDescent="0.25">
      <c r="B37" s="1"/>
      <c r="C37" s="1"/>
      <c r="D37" s="1"/>
      <c r="E37" s="2"/>
      <c r="F37" s="3"/>
      <c r="G37" s="1"/>
      <c r="H37" s="1"/>
      <c r="I37" s="1"/>
      <c r="J37" s="1"/>
    </row>
    <row r="38" spans="2:10" s="8" customFormat="1" ht="16.149999999999999" customHeight="1" x14ac:dyDescent="0.25">
      <c r="B38" s="1"/>
      <c r="C38" s="1"/>
      <c r="D38" s="1"/>
      <c r="E38" s="2"/>
      <c r="F38" s="3"/>
      <c r="G38" s="1"/>
      <c r="H38" s="1"/>
      <c r="I38" s="1"/>
      <c r="J38" s="1"/>
    </row>
    <row r="39" spans="2:10" s="8" customFormat="1" x14ac:dyDescent="0.25">
      <c r="B39" s="1"/>
      <c r="C39" s="1"/>
      <c r="D39" s="1"/>
      <c r="E39" s="2"/>
      <c r="F39" s="3"/>
      <c r="G39" s="1"/>
      <c r="H39" s="1"/>
      <c r="I39" s="1"/>
      <c r="J39" s="1"/>
    </row>
    <row r="40" spans="2:10" s="8" customFormat="1" x14ac:dyDescent="0.25">
      <c r="B40" s="1"/>
      <c r="C40" s="1"/>
      <c r="D40" s="1"/>
      <c r="E40" s="2"/>
      <c r="F40" s="3"/>
      <c r="G40" s="1"/>
      <c r="H40" s="1"/>
      <c r="I40" s="1"/>
      <c r="J40" s="1"/>
    </row>
    <row r="41" spans="2:10" s="8" customFormat="1" x14ac:dyDescent="0.25">
      <c r="B41" s="1"/>
      <c r="C41" s="1"/>
      <c r="D41" s="1"/>
      <c r="E41" s="2"/>
      <c r="F41" s="3"/>
      <c r="G41" s="1"/>
      <c r="H41" s="1"/>
      <c r="I41" s="1"/>
      <c r="J41" s="1"/>
    </row>
    <row r="42" spans="2:10" s="8" customFormat="1" x14ac:dyDescent="0.25">
      <c r="B42" s="1"/>
      <c r="C42" s="1"/>
      <c r="D42" s="1"/>
      <c r="E42" s="2"/>
      <c r="F42" s="3"/>
      <c r="G42" s="1"/>
      <c r="H42" s="1"/>
      <c r="I42" s="1"/>
      <c r="J42" s="1"/>
    </row>
    <row r="43" spans="2:10" s="8" customFormat="1" x14ac:dyDescent="0.25">
      <c r="B43" s="1"/>
      <c r="C43" s="1"/>
      <c r="D43" s="1"/>
      <c r="E43" s="2"/>
      <c r="F43" s="3"/>
      <c r="G43" s="1"/>
      <c r="H43" s="1"/>
      <c r="I43" s="1"/>
      <c r="J43" s="1"/>
    </row>
    <row r="44" spans="2:10" s="8" customFormat="1" x14ac:dyDescent="0.25">
      <c r="B44" s="1"/>
      <c r="C44" s="1"/>
      <c r="D44" s="1"/>
      <c r="E44" s="2"/>
      <c r="F44" s="3"/>
      <c r="G44" s="1"/>
      <c r="H44" s="1"/>
      <c r="I44" s="1"/>
      <c r="J44" s="1"/>
    </row>
    <row r="45" spans="2:10" s="8" customFormat="1" x14ac:dyDescent="0.25">
      <c r="B45" s="1"/>
      <c r="C45" s="1"/>
      <c r="D45" s="1"/>
      <c r="E45" s="2"/>
      <c r="F45" s="3"/>
      <c r="G45" s="1"/>
      <c r="H45" s="1"/>
      <c r="I45" s="1"/>
      <c r="J45" s="1"/>
    </row>
    <row r="46" spans="2:10" s="8" customFormat="1" x14ac:dyDescent="0.25">
      <c r="B46" s="1"/>
      <c r="C46" s="1"/>
      <c r="D46" s="1"/>
      <c r="E46" s="2"/>
      <c r="F46" s="3"/>
      <c r="G46" s="1"/>
      <c r="H46" s="1"/>
      <c r="I46" s="1"/>
      <c r="J46" s="1"/>
    </row>
    <row r="47" spans="2:10" s="8" customFormat="1" x14ac:dyDescent="0.25">
      <c r="B47" s="1"/>
      <c r="C47" s="1"/>
      <c r="D47" s="1"/>
      <c r="E47" s="2"/>
      <c r="F47" s="3"/>
      <c r="G47" s="1"/>
      <c r="H47" s="1"/>
      <c r="I47" s="1"/>
      <c r="J47" s="1"/>
    </row>
    <row r="48" spans="2:10" s="8" customFormat="1" x14ac:dyDescent="0.25">
      <c r="B48" s="1"/>
      <c r="C48" s="1"/>
      <c r="D48" s="1"/>
      <c r="E48" s="2"/>
      <c r="F48" s="3"/>
      <c r="G48" s="1"/>
      <c r="H48" s="1"/>
      <c r="I48" s="1"/>
      <c r="J48" s="1"/>
    </row>
    <row r="49" spans="2:10" s="8" customFormat="1" x14ac:dyDescent="0.25">
      <c r="B49" s="1"/>
      <c r="C49" s="1"/>
      <c r="D49" s="1"/>
      <c r="E49" s="2"/>
      <c r="F49" s="3"/>
      <c r="G49" s="1"/>
      <c r="H49" s="1"/>
      <c r="I49" s="1"/>
      <c r="J49" s="1"/>
    </row>
    <row r="50" spans="2:10" s="8" customFormat="1" x14ac:dyDescent="0.25">
      <c r="B50" s="1"/>
      <c r="C50" s="1"/>
      <c r="D50" s="1"/>
      <c r="E50" s="2"/>
      <c r="F50" s="3"/>
      <c r="G50" s="1"/>
      <c r="H50" s="1"/>
      <c r="I50" s="1"/>
      <c r="J50" s="1"/>
    </row>
    <row r="51" spans="2:10" s="8" customFormat="1" x14ac:dyDescent="0.25">
      <c r="B51" s="1"/>
      <c r="C51" s="1"/>
      <c r="D51" s="1"/>
      <c r="E51" s="2"/>
      <c r="F51" s="3"/>
      <c r="G51" s="1"/>
      <c r="H51" s="1"/>
      <c r="I51" s="1"/>
      <c r="J51" s="1"/>
    </row>
    <row r="52" spans="2:10" s="8" customFormat="1" x14ac:dyDescent="0.25">
      <c r="B52" s="1"/>
      <c r="C52" s="1"/>
      <c r="D52" s="1"/>
      <c r="E52" s="2"/>
      <c r="F52" s="3"/>
      <c r="G52" s="1"/>
      <c r="H52" s="1"/>
      <c r="I52" s="1"/>
      <c r="J52" s="1"/>
    </row>
    <row r="53" spans="2:10" s="8" customFormat="1" x14ac:dyDescent="0.25">
      <c r="B53" s="1"/>
      <c r="C53" s="1"/>
      <c r="D53" s="1"/>
      <c r="E53" s="2"/>
      <c r="F53" s="3"/>
      <c r="G53" s="1"/>
      <c r="H53" s="1"/>
      <c r="I53" s="1"/>
      <c r="J53" s="1"/>
    </row>
    <row r="54" spans="2:10" s="8" customFormat="1" x14ac:dyDescent="0.25">
      <c r="B54" s="1"/>
      <c r="C54" s="1"/>
      <c r="D54" s="1"/>
      <c r="E54" s="2"/>
      <c r="F54" s="3"/>
      <c r="G54" s="1"/>
      <c r="H54" s="1"/>
      <c r="I54" s="1"/>
      <c r="J54" s="1"/>
    </row>
    <row r="55" spans="2:10" s="8" customFormat="1" x14ac:dyDescent="0.25">
      <c r="B55" s="1"/>
      <c r="C55" s="1"/>
      <c r="D55" s="1"/>
      <c r="E55" s="2"/>
      <c r="F55" s="3"/>
      <c r="G55" s="1"/>
      <c r="H55" s="1"/>
      <c r="I55" s="1"/>
      <c r="J55" s="1"/>
    </row>
    <row r="56" spans="2:10" s="8" customFormat="1" x14ac:dyDescent="0.25">
      <c r="B56" s="1"/>
      <c r="C56" s="1"/>
      <c r="D56" s="1"/>
      <c r="E56" s="2"/>
      <c r="F56" s="3"/>
      <c r="G56" s="1"/>
      <c r="H56" s="1"/>
      <c r="I56" s="1"/>
      <c r="J56" s="1"/>
    </row>
    <row r="57" spans="2:10" s="8" customFormat="1" x14ac:dyDescent="0.25">
      <c r="B57" s="1"/>
      <c r="C57" s="1"/>
      <c r="D57" s="1"/>
      <c r="E57" s="2"/>
      <c r="F57" s="3"/>
      <c r="G57" s="1"/>
      <c r="H57" s="1"/>
      <c r="I57" s="1"/>
      <c r="J57" s="1"/>
    </row>
    <row r="58" spans="2:10" s="8" customFormat="1" x14ac:dyDescent="0.25">
      <c r="B58" s="1"/>
      <c r="C58" s="1"/>
      <c r="D58" s="1"/>
      <c r="E58" s="2"/>
      <c r="F58" s="3"/>
      <c r="G58" s="1"/>
      <c r="H58" s="1"/>
      <c r="I58" s="1"/>
      <c r="J58" s="1"/>
    </row>
    <row r="59" spans="2:10" s="8" customFormat="1" x14ac:dyDescent="0.25">
      <c r="B59" s="1"/>
      <c r="C59" s="1"/>
      <c r="D59" s="1"/>
      <c r="E59" s="2"/>
      <c r="F59" s="3"/>
      <c r="G59" s="1"/>
      <c r="H59" s="1"/>
      <c r="I59" s="1"/>
      <c r="J59" s="1"/>
    </row>
    <row r="60" spans="2:10" s="8" customFormat="1" x14ac:dyDescent="0.25">
      <c r="B60" s="1"/>
      <c r="C60" s="1"/>
      <c r="D60" s="1"/>
      <c r="E60" s="2"/>
      <c r="F60" s="3"/>
      <c r="G60" s="1"/>
      <c r="H60" s="1"/>
      <c r="I60" s="1"/>
      <c r="J60" s="1"/>
    </row>
    <row r="61" spans="2:10" s="8" customFormat="1" x14ac:dyDescent="0.25">
      <c r="B61" s="1"/>
      <c r="C61" s="1"/>
      <c r="D61" s="1"/>
      <c r="E61" s="2"/>
      <c r="F61" s="3"/>
      <c r="G61" s="1"/>
      <c r="H61" s="1"/>
      <c r="I61" s="1"/>
      <c r="J61" s="1"/>
    </row>
    <row r="62" spans="2:10" s="8" customFormat="1" x14ac:dyDescent="0.25">
      <c r="B62" s="1"/>
      <c r="C62" s="1"/>
      <c r="D62" s="1"/>
      <c r="E62" s="2"/>
      <c r="F62" s="3"/>
      <c r="G62" s="1"/>
      <c r="H62" s="1"/>
      <c r="I62" s="1"/>
      <c r="J62" s="1"/>
    </row>
    <row r="63" spans="2:10" s="8" customFormat="1" x14ac:dyDescent="0.25">
      <c r="B63" s="1"/>
      <c r="C63" s="1"/>
      <c r="D63" s="1"/>
      <c r="E63" s="2"/>
      <c r="F63" s="3"/>
      <c r="G63" s="1"/>
      <c r="H63" s="1"/>
      <c r="I63" s="1"/>
      <c r="J63" s="1"/>
    </row>
    <row r="64" spans="2:10" s="8" customFormat="1" x14ac:dyDescent="0.25">
      <c r="B64" s="1"/>
      <c r="C64" s="1"/>
      <c r="D64" s="1"/>
      <c r="E64" s="2"/>
      <c r="F64" s="3"/>
      <c r="G64" s="1"/>
      <c r="H64" s="1"/>
      <c r="I64" s="1"/>
      <c r="J64" s="1"/>
    </row>
    <row r="65" spans="2:10" s="8" customFormat="1" x14ac:dyDescent="0.25">
      <c r="B65" s="1"/>
      <c r="C65" s="1"/>
      <c r="D65" s="1"/>
      <c r="E65" s="2"/>
      <c r="F65" s="3"/>
      <c r="G65" s="1"/>
      <c r="H65" s="1"/>
      <c r="I65" s="1"/>
      <c r="J65" s="1"/>
    </row>
    <row r="66" spans="2:10" s="8" customFormat="1" x14ac:dyDescent="0.25">
      <c r="B66" s="1"/>
      <c r="C66" s="1"/>
      <c r="D66" s="1"/>
      <c r="E66" s="2"/>
      <c r="F66" s="3"/>
      <c r="G66" s="1"/>
      <c r="H66" s="1"/>
      <c r="I66" s="1"/>
      <c r="J66" s="1"/>
    </row>
    <row r="67" spans="2:10" s="8" customFormat="1" x14ac:dyDescent="0.25">
      <c r="B67" s="1"/>
      <c r="C67" s="1"/>
      <c r="D67" s="1"/>
      <c r="E67" s="2"/>
      <c r="F67" s="3"/>
      <c r="G67" s="1"/>
      <c r="H67" s="1"/>
      <c r="I67" s="1"/>
      <c r="J67" s="1"/>
    </row>
    <row r="68" spans="2:10" s="8" customFormat="1" x14ac:dyDescent="0.25">
      <c r="B68" s="1"/>
      <c r="C68" s="1"/>
      <c r="D68" s="1"/>
      <c r="E68" s="2"/>
      <c r="F68" s="3"/>
      <c r="G68" s="1"/>
      <c r="H68" s="1"/>
      <c r="I68" s="1"/>
      <c r="J68" s="1"/>
    </row>
    <row r="69" spans="2:10" s="8" customFormat="1" x14ac:dyDescent="0.25">
      <c r="B69" s="1"/>
      <c r="C69" s="1"/>
      <c r="D69" s="1"/>
      <c r="E69" s="2"/>
      <c r="F69" s="3"/>
      <c r="G69" s="1"/>
      <c r="H69" s="1"/>
      <c r="I69" s="1"/>
      <c r="J69" s="1"/>
    </row>
    <row r="70" spans="2:10" s="8" customFormat="1" x14ac:dyDescent="0.25">
      <c r="B70" s="1"/>
      <c r="C70" s="1"/>
      <c r="D70" s="1"/>
      <c r="E70" s="2"/>
      <c r="F70" s="3"/>
      <c r="G70" s="1"/>
      <c r="H70" s="1"/>
      <c r="I70" s="1"/>
      <c r="J70" s="1"/>
    </row>
    <row r="71" spans="2:10" s="8" customFormat="1" x14ac:dyDescent="0.25">
      <c r="B71" s="1"/>
      <c r="C71" s="1"/>
      <c r="D71" s="1"/>
      <c r="E71" s="2"/>
      <c r="F71" s="3"/>
      <c r="G71" s="1"/>
      <c r="H71" s="1"/>
      <c r="I71" s="1"/>
      <c r="J71" s="1"/>
    </row>
    <row r="72" spans="2:10" s="8" customFormat="1" x14ac:dyDescent="0.25">
      <c r="B72" s="1"/>
      <c r="C72" s="1"/>
      <c r="D72" s="1"/>
      <c r="E72" s="2"/>
      <c r="F72" s="3"/>
      <c r="G72" s="1"/>
      <c r="H72" s="1"/>
      <c r="I72" s="1"/>
      <c r="J72" s="1"/>
    </row>
    <row r="73" spans="2:10" s="8" customFormat="1" x14ac:dyDescent="0.25">
      <c r="B73" s="1"/>
      <c r="C73" s="1"/>
      <c r="D73" s="1"/>
      <c r="E73" s="2"/>
      <c r="F73" s="3"/>
      <c r="G73" s="1"/>
      <c r="H73" s="1"/>
      <c r="I73" s="1"/>
      <c r="J73" s="1"/>
    </row>
    <row r="74" spans="2:10" s="8" customFormat="1" x14ac:dyDescent="0.25">
      <c r="B74" s="1"/>
      <c r="C74" s="1"/>
      <c r="D74" s="1"/>
      <c r="E74" s="2"/>
      <c r="F74" s="3"/>
      <c r="G74" s="1"/>
      <c r="H74" s="1"/>
      <c r="I74" s="1"/>
      <c r="J74" s="1"/>
    </row>
    <row r="75" spans="2:10" s="8" customFormat="1" x14ac:dyDescent="0.25">
      <c r="B75" s="1"/>
      <c r="C75" s="1"/>
      <c r="D75" s="1"/>
      <c r="E75" s="2"/>
      <c r="F75" s="3"/>
      <c r="G75" s="1"/>
      <c r="H75" s="1"/>
      <c r="I75" s="1"/>
      <c r="J75" s="1"/>
    </row>
    <row r="76" spans="2:10" s="8" customFormat="1" x14ac:dyDescent="0.25">
      <c r="B76" s="1"/>
      <c r="C76" s="1"/>
      <c r="D76" s="1"/>
      <c r="E76" s="2"/>
      <c r="F76" s="3"/>
      <c r="G76" s="1"/>
      <c r="H76" s="1"/>
      <c r="I76" s="1"/>
      <c r="J76" s="1"/>
    </row>
    <row r="77" spans="2:10" s="8" customFormat="1" x14ac:dyDescent="0.25">
      <c r="B77" s="1"/>
      <c r="C77" s="1"/>
      <c r="D77" s="1"/>
      <c r="E77" s="2"/>
      <c r="F77" s="3"/>
      <c r="G77" s="1"/>
      <c r="H77" s="1"/>
      <c r="I77" s="1"/>
      <c r="J77" s="1"/>
    </row>
    <row r="78" spans="2:10" s="8" customFormat="1" x14ac:dyDescent="0.25">
      <c r="B78" s="1"/>
      <c r="C78" s="1"/>
      <c r="D78" s="1"/>
      <c r="E78" s="2"/>
      <c r="F78" s="3"/>
      <c r="G78" s="1"/>
      <c r="H78" s="1"/>
      <c r="I78" s="1"/>
      <c r="J78" s="1"/>
    </row>
    <row r="79" spans="2:10" s="8" customFormat="1" x14ac:dyDescent="0.25">
      <c r="B79" s="1"/>
      <c r="C79" s="1"/>
      <c r="D79" s="1"/>
      <c r="E79" s="2"/>
      <c r="F79" s="3"/>
      <c r="G79" s="1"/>
      <c r="H79" s="1"/>
      <c r="I79" s="1"/>
      <c r="J79" s="1"/>
    </row>
    <row r="80" spans="2:10" s="8" customFormat="1" x14ac:dyDescent="0.25">
      <c r="B80" s="1"/>
      <c r="C80" s="1"/>
      <c r="D80" s="1"/>
      <c r="E80" s="2"/>
      <c r="F80" s="3"/>
      <c r="G80" s="1"/>
      <c r="H80" s="1"/>
      <c r="I80" s="1"/>
      <c r="J80" s="1"/>
    </row>
    <row r="81" spans="2:10" s="8" customFormat="1" x14ac:dyDescent="0.25">
      <c r="B81" s="1"/>
      <c r="C81" s="1"/>
      <c r="D81" s="1"/>
      <c r="E81" s="2"/>
      <c r="F81" s="3"/>
      <c r="G81" s="1"/>
      <c r="H81" s="1"/>
      <c r="I81" s="1"/>
      <c r="J81" s="1"/>
    </row>
    <row r="82" spans="2:10" s="8" customFormat="1" x14ac:dyDescent="0.25">
      <c r="B82" s="1"/>
      <c r="C82" s="1"/>
      <c r="D82" s="1"/>
      <c r="E82" s="2"/>
      <c r="F82" s="3"/>
      <c r="G82" s="1"/>
      <c r="H82" s="1"/>
      <c r="I82" s="1"/>
      <c r="J82" s="1"/>
    </row>
    <row r="83" spans="2:10" s="8" customFormat="1" x14ac:dyDescent="0.25">
      <c r="B83" s="1"/>
      <c r="C83" s="1"/>
      <c r="D83" s="1"/>
      <c r="E83" s="2"/>
      <c r="F83" s="3"/>
      <c r="G83" s="1"/>
      <c r="H83" s="1"/>
      <c r="I83" s="1"/>
      <c r="J83" s="1"/>
    </row>
    <row r="84" spans="2:10" s="8" customFormat="1" x14ac:dyDescent="0.25">
      <c r="B84" s="1"/>
      <c r="C84" s="1"/>
      <c r="D84" s="1"/>
      <c r="E84" s="2"/>
      <c r="F84" s="3"/>
      <c r="G84" s="1"/>
      <c r="H84" s="1"/>
      <c r="I84" s="1"/>
      <c r="J84" s="1"/>
    </row>
    <row r="85" spans="2:10" s="8" customFormat="1" x14ac:dyDescent="0.25">
      <c r="B85" s="1"/>
      <c r="C85" s="1"/>
      <c r="D85" s="1"/>
      <c r="E85" s="2"/>
      <c r="F85" s="3"/>
      <c r="G85" s="1"/>
      <c r="H85" s="1"/>
      <c r="I85" s="1"/>
      <c r="J85" s="1"/>
    </row>
    <row r="86" spans="2:10" s="8" customFormat="1" x14ac:dyDescent="0.25">
      <c r="B86" s="1"/>
      <c r="C86" s="1"/>
      <c r="D86" s="1"/>
      <c r="E86" s="2"/>
      <c r="F86" s="3"/>
      <c r="G86" s="1"/>
      <c r="H86" s="1"/>
      <c r="I86" s="1"/>
      <c r="J86" s="1"/>
    </row>
    <row r="87" spans="2:10" s="8" customFormat="1" x14ac:dyDescent="0.25">
      <c r="B87" s="1"/>
      <c r="C87" s="1"/>
      <c r="D87" s="1"/>
      <c r="E87" s="2"/>
      <c r="F87" s="3"/>
      <c r="G87" s="1"/>
      <c r="H87" s="1"/>
      <c r="I87" s="1"/>
      <c r="J87" s="1"/>
    </row>
    <row r="88" spans="2:10" s="8" customFormat="1" x14ac:dyDescent="0.25">
      <c r="B88" s="1"/>
      <c r="C88" s="1"/>
      <c r="D88" s="1"/>
      <c r="E88" s="2"/>
      <c r="F88" s="3"/>
      <c r="G88" s="1"/>
      <c r="H88" s="1"/>
      <c r="I88" s="1"/>
      <c r="J88" s="1"/>
    </row>
    <row r="89" spans="2:10" s="8" customFormat="1" x14ac:dyDescent="0.25">
      <c r="B89" s="1"/>
      <c r="C89" s="1"/>
      <c r="D89" s="1"/>
      <c r="E89" s="2"/>
      <c r="F89" s="3"/>
      <c r="G89" s="1"/>
      <c r="H89" s="1"/>
      <c r="I89" s="1"/>
      <c r="J89" s="1"/>
    </row>
    <row r="90" spans="2:10" s="8" customFormat="1" x14ac:dyDescent="0.25">
      <c r="B90" s="1"/>
      <c r="C90" s="1"/>
      <c r="D90" s="1"/>
      <c r="E90" s="2"/>
      <c r="F90" s="3"/>
      <c r="G90" s="1"/>
      <c r="H90" s="1"/>
      <c r="I90" s="1"/>
      <c r="J90" s="1"/>
    </row>
    <row r="91" spans="2:10" s="8" customFormat="1" x14ac:dyDescent="0.25">
      <c r="B91" s="1"/>
      <c r="C91" s="1"/>
      <c r="D91" s="1"/>
      <c r="E91" s="2"/>
      <c r="F91" s="3"/>
      <c r="G91" s="1"/>
      <c r="H91" s="1"/>
      <c r="I91" s="1"/>
      <c r="J91" s="1"/>
    </row>
    <row r="92" spans="2:10" s="8" customFormat="1" x14ac:dyDescent="0.25">
      <c r="B92" s="1"/>
      <c r="C92" s="1"/>
      <c r="D92" s="1"/>
      <c r="E92" s="2"/>
      <c r="F92" s="3"/>
      <c r="G92" s="1"/>
      <c r="H92" s="1"/>
      <c r="I92" s="1"/>
      <c r="J92" s="1"/>
    </row>
    <row r="93" spans="2:10" s="8" customFormat="1" x14ac:dyDescent="0.25">
      <c r="B93" s="1"/>
      <c r="C93" s="1"/>
      <c r="D93" s="1"/>
      <c r="E93" s="2"/>
      <c r="F93" s="3"/>
      <c r="G93" s="1"/>
      <c r="H93" s="1"/>
      <c r="I93" s="1"/>
      <c r="J93" s="1"/>
    </row>
    <row r="94" spans="2:10" s="8" customFormat="1" x14ac:dyDescent="0.25">
      <c r="B94" s="1"/>
      <c r="C94" s="1"/>
      <c r="D94" s="1"/>
      <c r="E94" s="2"/>
      <c r="F94" s="3"/>
      <c r="G94" s="1"/>
      <c r="H94" s="1"/>
      <c r="I94" s="1"/>
      <c r="J94" s="1"/>
    </row>
    <row r="95" spans="2:10" s="8" customFormat="1" x14ac:dyDescent="0.25">
      <c r="B95" s="1"/>
      <c r="C95" s="1"/>
      <c r="D95" s="1"/>
      <c r="E95" s="2"/>
      <c r="F95" s="3"/>
      <c r="G95" s="1"/>
      <c r="H95" s="1"/>
      <c r="I95" s="1"/>
      <c r="J95" s="1"/>
    </row>
    <row r="96" spans="2:10" s="8" customFormat="1" x14ac:dyDescent="0.25">
      <c r="B96" s="1"/>
      <c r="C96" s="1"/>
      <c r="D96" s="1"/>
      <c r="E96" s="2"/>
      <c r="F96" s="3"/>
      <c r="G96" s="1"/>
      <c r="H96" s="1"/>
      <c r="I96" s="1"/>
      <c r="J96" s="1"/>
    </row>
    <row r="97" spans="2:10" s="8" customFormat="1" x14ac:dyDescent="0.25">
      <c r="B97" s="1"/>
      <c r="C97" s="1"/>
      <c r="D97" s="1"/>
      <c r="E97" s="2"/>
      <c r="F97" s="3"/>
      <c r="G97" s="1"/>
      <c r="H97" s="1"/>
      <c r="I97" s="1"/>
      <c r="J97" s="1"/>
    </row>
    <row r="98" spans="2:10" s="8" customFormat="1" x14ac:dyDescent="0.25">
      <c r="B98" s="1"/>
      <c r="C98" s="1"/>
      <c r="D98" s="1"/>
      <c r="E98" s="2"/>
      <c r="F98" s="3"/>
      <c r="G98" s="1"/>
      <c r="H98" s="1"/>
      <c r="I98" s="1"/>
      <c r="J98" s="1"/>
    </row>
    <row r="99" spans="2:10" s="8" customFormat="1" x14ac:dyDescent="0.25">
      <c r="B99" s="1"/>
      <c r="C99" s="1"/>
      <c r="D99" s="1"/>
      <c r="E99" s="2"/>
      <c r="F99" s="3"/>
      <c r="G99" s="1"/>
      <c r="H99" s="1"/>
      <c r="I99" s="1"/>
      <c r="J99" s="1"/>
    </row>
    <row r="100" spans="2:10" s="8" customFormat="1" x14ac:dyDescent="0.25">
      <c r="B100" s="1"/>
      <c r="C100" s="1"/>
      <c r="D100" s="1"/>
      <c r="E100" s="2"/>
      <c r="F100" s="3"/>
      <c r="G100" s="1"/>
      <c r="H100" s="1"/>
      <c r="I100" s="1"/>
      <c r="J100" s="1"/>
    </row>
    <row r="101" spans="2:10" s="8" customFormat="1" x14ac:dyDescent="0.25">
      <c r="B101" s="1"/>
      <c r="C101" s="1"/>
      <c r="D101" s="1"/>
      <c r="E101" s="2"/>
      <c r="F101" s="3"/>
      <c r="G101" s="1"/>
      <c r="H101" s="1"/>
      <c r="I101" s="1"/>
      <c r="J101" s="1"/>
    </row>
    <row r="102" spans="2:10" s="8" customFormat="1" x14ac:dyDescent="0.25">
      <c r="B102" s="1"/>
      <c r="C102" s="1"/>
      <c r="D102" s="1"/>
      <c r="E102" s="2"/>
      <c r="F102" s="3"/>
      <c r="G102" s="1"/>
      <c r="H102" s="1"/>
      <c r="I102" s="1"/>
      <c r="J102" s="1"/>
    </row>
    <row r="103" spans="2:10" s="8" customFormat="1" x14ac:dyDescent="0.25">
      <c r="B103" s="1"/>
      <c r="C103" s="1"/>
      <c r="D103" s="1"/>
      <c r="E103" s="2"/>
      <c r="F103" s="3"/>
      <c r="G103" s="1"/>
      <c r="H103" s="1"/>
      <c r="I103" s="1"/>
      <c r="J103" s="1"/>
    </row>
    <row r="104" spans="2:10" s="8" customFormat="1" x14ac:dyDescent="0.25">
      <c r="B104" s="1"/>
      <c r="C104" s="1"/>
      <c r="D104" s="1"/>
      <c r="E104" s="2"/>
      <c r="F104" s="3"/>
      <c r="G104" s="1"/>
      <c r="H104" s="1"/>
      <c r="I104" s="1"/>
      <c r="J104" s="1"/>
    </row>
    <row r="105" spans="2:10" s="8" customFormat="1" x14ac:dyDescent="0.25">
      <c r="B105" s="1"/>
      <c r="C105" s="1"/>
      <c r="D105" s="1"/>
      <c r="E105" s="2"/>
      <c r="F105" s="3"/>
      <c r="G105" s="1"/>
      <c r="H105" s="1"/>
      <c r="I105" s="1"/>
      <c r="J105" s="1"/>
    </row>
    <row r="106" spans="2:10" s="8" customFormat="1" x14ac:dyDescent="0.25">
      <c r="B106" s="1"/>
      <c r="C106" s="1"/>
      <c r="D106" s="1"/>
      <c r="E106" s="2"/>
      <c r="F106" s="3"/>
      <c r="G106" s="1"/>
      <c r="H106" s="1"/>
      <c r="I106" s="1"/>
      <c r="J106" s="1"/>
    </row>
    <row r="107" spans="2:10" s="8" customFormat="1" x14ac:dyDescent="0.25">
      <c r="B107" s="1"/>
      <c r="C107" s="1"/>
      <c r="D107" s="1"/>
      <c r="E107" s="2"/>
      <c r="F107" s="3"/>
      <c r="G107" s="1"/>
      <c r="H107" s="1"/>
      <c r="I107" s="1"/>
      <c r="J107" s="1"/>
    </row>
    <row r="108" spans="2:10" s="8" customFormat="1" x14ac:dyDescent="0.25">
      <c r="B108" s="1"/>
      <c r="C108" s="1"/>
      <c r="D108" s="1"/>
      <c r="E108" s="2"/>
      <c r="F108" s="3"/>
      <c r="G108" s="1"/>
      <c r="H108" s="1"/>
      <c r="I108" s="1"/>
      <c r="J108" s="1"/>
    </row>
    <row r="109" spans="2:10" s="8" customFormat="1" x14ac:dyDescent="0.25">
      <c r="B109" s="1"/>
      <c r="C109" s="1"/>
      <c r="D109" s="1"/>
      <c r="E109" s="2"/>
      <c r="F109" s="3"/>
      <c r="G109" s="1"/>
      <c r="H109" s="1"/>
      <c r="I109" s="1"/>
      <c r="J109" s="1"/>
    </row>
    <row r="110" spans="2:10" s="8" customFormat="1" x14ac:dyDescent="0.25">
      <c r="B110" s="1"/>
      <c r="C110" s="1"/>
      <c r="D110" s="1"/>
      <c r="E110" s="2"/>
      <c r="F110" s="3"/>
      <c r="G110" s="1"/>
      <c r="H110" s="1"/>
      <c r="I110" s="1"/>
      <c r="J110" s="1"/>
    </row>
    <row r="111" spans="2:10" s="8" customFormat="1" x14ac:dyDescent="0.25">
      <c r="B111" s="1"/>
      <c r="C111" s="1"/>
      <c r="D111" s="1"/>
      <c r="E111" s="2"/>
      <c r="F111" s="3"/>
      <c r="G111" s="1"/>
      <c r="H111" s="1"/>
      <c r="I111" s="1"/>
      <c r="J111" s="1"/>
    </row>
    <row r="112" spans="2:10" s="8" customFormat="1" x14ac:dyDescent="0.25">
      <c r="B112" s="1"/>
      <c r="C112" s="1"/>
      <c r="D112" s="1"/>
      <c r="E112" s="2"/>
      <c r="F112" s="3"/>
      <c r="G112" s="1"/>
      <c r="H112" s="1"/>
      <c r="I112" s="1"/>
      <c r="J112" s="1"/>
    </row>
    <row r="113" spans="2:10" s="8" customFormat="1" x14ac:dyDescent="0.25">
      <c r="B113" s="1"/>
      <c r="C113" s="1"/>
      <c r="D113" s="1"/>
      <c r="E113" s="2"/>
      <c r="F113" s="3"/>
      <c r="G113" s="1"/>
      <c r="H113" s="1"/>
      <c r="I113" s="1"/>
      <c r="J113" s="1"/>
    </row>
    <row r="114" spans="2:10" s="8" customFormat="1" x14ac:dyDescent="0.25">
      <c r="B114" s="1"/>
      <c r="C114" s="1"/>
      <c r="D114" s="1"/>
      <c r="E114" s="2"/>
      <c r="F114" s="3"/>
      <c r="G114" s="1"/>
      <c r="H114" s="1"/>
      <c r="I114" s="1"/>
      <c r="J114" s="1"/>
    </row>
    <row r="115" spans="2:10" s="8" customFormat="1" x14ac:dyDescent="0.25">
      <c r="B115" s="1"/>
      <c r="C115" s="1"/>
      <c r="D115" s="1"/>
      <c r="E115" s="2"/>
      <c r="F115" s="3"/>
      <c r="G115" s="1"/>
      <c r="H115" s="1"/>
      <c r="I115" s="1"/>
      <c r="J115" s="1"/>
    </row>
    <row r="116" spans="2:10" s="8" customFormat="1" x14ac:dyDescent="0.25">
      <c r="B116" s="1"/>
      <c r="C116" s="1"/>
      <c r="D116" s="1"/>
      <c r="E116" s="2"/>
      <c r="F116" s="3"/>
      <c r="G116" s="1"/>
      <c r="H116" s="1"/>
      <c r="I116" s="1"/>
      <c r="J116" s="1"/>
    </row>
    <row r="117" spans="2:10" s="8" customFormat="1" x14ac:dyDescent="0.25">
      <c r="B117" s="1"/>
      <c r="C117" s="1"/>
      <c r="D117" s="1"/>
      <c r="E117" s="2"/>
      <c r="F117" s="3"/>
      <c r="G117" s="1"/>
      <c r="H117" s="1"/>
      <c r="I117" s="1"/>
      <c r="J117" s="1"/>
    </row>
    <row r="118" spans="2:10" s="8" customFormat="1" x14ac:dyDescent="0.25">
      <c r="B118" s="1"/>
      <c r="C118" s="1"/>
      <c r="D118" s="1"/>
      <c r="E118" s="2"/>
      <c r="F118" s="3"/>
      <c r="G118" s="1"/>
      <c r="H118" s="1"/>
      <c r="I118" s="1"/>
      <c r="J118" s="1"/>
    </row>
    <row r="119" spans="2:10" s="8" customFormat="1" x14ac:dyDescent="0.25">
      <c r="B119" s="1"/>
      <c r="C119" s="1"/>
      <c r="D119" s="1"/>
      <c r="E119" s="2"/>
      <c r="F119" s="3"/>
      <c r="G119" s="1"/>
      <c r="H119" s="1"/>
      <c r="I119" s="1"/>
      <c r="J119" s="1"/>
    </row>
    <row r="120" spans="2:10" s="8" customFormat="1" x14ac:dyDescent="0.25">
      <c r="B120" s="1"/>
      <c r="C120" s="1"/>
      <c r="D120" s="1"/>
      <c r="E120" s="2"/>
      <c r="F120" s="3"/>
      <c r="G120" s="1"/>
      <c r="H120" s="1"/>
      <c r="I120" s="1"/>
      <c r="J120" s="1"/>
    </row>
    <row r="121" spans="2:10" s="8" customFormat="1" x14ac:dyDescent="0.25">
      <c r="B121" s="1"/>
      <c r="C121" s="1"/>
      <c r="D121" s="1"/>
      <c r="E121" s="2"/>
      <c r="F121" s="3"/>
      <c r="G121" s="1"/>
      <c r="H121" s="1"/>
      <c r="I121" s="1"/>
      <c r="J121" s="1"/>
    </row>
    <row r="122" spans="2:10" s="8" customFormat="1" x14ac:dyDescent="0.25">
      <c r="B122" s="1"/>
      <c r="C122" s="1"/>
      <c r="D122" s="1"/>
      <c r="E122" s="2"/>
      <c r="F122" s="3"/>
      <c r="G122" s="1"/>
      <c r="H122" s="1"/>
      <c r="I122" s="1"/>
      <c r="J122" s="1"/>
    </row>
    <row r="123" spans="2:10" s="8" customFormat="1" x14ac:dyDescent="0.25">
      <c r="B123" s="1"/>
      <c r="C123" s="1"/>
      <c r="D123" s="1"/>
      <c r="E123" s="2"/>
      <c r="F123" s="3"/>
      <c r="G123" s="1"/>
      <c r="H123" s="1"/>
      <c r="I123" s="1"/>
      <c r="J123" s="1"/>
    </row>
    <row r="124" spans="2:10" s="8" customFormat="1" x14ac:dyDescent="0.25">
      <c r="B124" s="1"/>
      <c r="C124" s="1"/>
      <c r="D124" s="1"/>
      <c r="E124" s="2"/>
      <c r="F124" s="3"/>
      <c r="G124" s="1"/>
      <c r="H124" s="1"/>
      <c r="I124" s="1"/>
      <c r="J124" s="1"/>
    </row>
    <row r="125" spans="2:10" s="8" customFormat="1" x14ac:dyDescent="0.25">
      <c r="B125" s="1"/>
      <c r="C125" s="1"/>
      <c r="D125" s="1"/>
      <c r="E125" s="2"/>
      <c r="F125" s="3"/>
      <c r="G125" s="1"/>
      <c r="H125" s="1"/>
      <c r="I125" s="1"/>
      <c r="J125" s="1"/>
    </row>
    <row r="126" spans="2:10" s="8" customFormat="1" x14ac:dyDescent="0.25">
      <c r="B126" s="1"/>
      <c r="C126" s="1"/>
      <c r="D126" s="1"/>
      <c r="E126" s="2"/>
      <c r="F126" s="3"/>
      <c r="G126" s="1"/>
      <c r="H126" s="1"/>
      <c r="I126" s="1"/>
      <c r="J126" s="1"/>
    </row>
    <row r="127" spans="2:10" s="8" customFormat="1" x14ac:dyDescent="0.25">
      <c r="B127" s="1"/>
      <c r="C127" s="1"/>
      <c r="D127" s="1"/>
      <c r="E127" s="2"/>
      <c r="F127" s="3"/>
      <c r="G127" s="1"/>
      <c r="H127" s="1"/>
      <c r="I127" s="1"/>
      <c r="J127" s="1"/>
    </row>
    <row r="128" spans="2:10" s="8" customFormat="1" x14ac:dyDescent="0.25">
      <c r="B128" s="1"/>
      <c r="C128" s="1"/>
      <c r="D128" s="1"/>
      <c r="E128" s="2"/>
      <c r="F128" s="3"/>
      <c r="G128" s="1"/>
      <c r="H128" s="1"/>
      <c r="I128" s="1"/>
      <c r="J128" s="1"/>
    </row>
    <row r="129" spans="2:10" s="8" customFormat="1" x14ac:dyDescent="0.25">
      <c r="B129" s="1"/>
      <c r="C129" s="1"/>
      <c r="D129" s="1"/>
      <c r="E129" s="2"/>
      <c r="F129" s="3"/>
      <c r="G129" s="1"/>
      <c r="H129" s="1"/>
      <c r="I129" s="1"/>
      <c r="J129" s="1"/>
    </row>
    <row r="130" spans="2:10" s="8" customFormat="1" x14ac:dyDescent="0.25">
      <c r="B130" s="1"/>
      <c r="C130" s="1"/>
      <c r="D130" s="1"/>
      <c r="E130" s="2"/>
      <c r="F130" s="3"/>
      <c r="G130" s="1"/>
      <c r="H130" s="1"/>
      <c r="I130" s="1"/>
      <c r="J130" s="1"/>
    </row>
    <row r="131" spans="2:10" s="8" customFormat="1" x14ac:dyDescent="0.25">
      <c r="B131" s="1"/>
      <c r="C131" s="1"/>
      <c r="D131" s="1"/>
      <c r="E131" s="2"/>
      <c r="F131" s="3"/>
      <c r="G131" s="1"/>
      <c r="H131" s="1"/>
      <c r="I131" s="1"/>
      <c r="J131" s="1"/>
    </row>
    <row r="132" spans="2:10" s="8" customFormat="1" x14ac:dyDescent="0.25">
      <c r="B132" s="1"/>
      <c r="C132" s="1"/>
      <c r="D132" s="1"/>
      <c r="E132" s="2"/>
      <c r="F132" s="3"/>
      <c r="G132" s="1"/>
      <c r="H132" s="1"/>
      <c r="I132" s="1"/>
      <c r="J132" s="1"/>
    </row>
    <row r="133" spans="2:10" s="8" customFormat="1" x14ac:dyDescent="0.25">
      <c r="B133" s="1"/>
      <c r="C133" s="1"/>
      <c r="D133" s="1"/>
      <c r="E133" s="2"/>
      <c r="F133" s="3"/>
      <c r="G133" s="1"/>
      <c r="H133" s="1"/>
      <c r="I133" s="1"/>
      <c r="J133" s="1"/>
    </row>
    <row r="134" spans="2:10" s="8" customFormat="1" x14ac:dyDescent="0.25">
      <c r="B134" s="1"/>
      <c r="C134" s="1"/>
      <c r="D134" s="1"/>
      <c r="E134" s="2"/>
      <c r="F134" s="3"/>
      <c r="G134" s="1"/>
      <c r="H134" s="1"/>
      <c r="I134" s="1"/>
      <c r="J134" s="1"/>
    </row>
    <row r="135" spans="2:10" s="8" customFormat="1" x14ac:dyDescent="0.25">
      <c r="B135" s="1"/>
      <c r="C135" s="1"/>
      <c r="D135" s="1"/>
      <c r="E135" s="2"/>
      <c r="F135" s="3"/>
      <c r="G135" s="1"/>
      <c r="H135" s="1"/>
      <c r="I135" s="1"/>
      <c r="J135" s="1"/>
    </row>
    <row r="136" spans="2:10" s="8" customFormat="1" x14ac:dyDescent="0.25">
      <c r="B136" s="1"/>
      <c r="C136" s="1"/>
      <c r="D136" s="1"/>
      <c r="E136" s="2"/>
      <c r="F136" s="3"/>
      <c r="G136" s="1"/>
      <c r="H136" s="1"/>
      <c r="I136" s="1"/>
      <c r="J136" s="1"/>
    </row>
    <row r="137" spans="2:10" s="8" customFormat="1" x14ac:dyDescent="0.25">
      <c r="B137" s="1"/>
      <c r="C137" s="1"/>
      <c r="D137" s="1"/>
      <c r="E137" s="2"/>
      <c r="F137" s="3"/>
      <c r="G137" s="1"/>
      <c r="H137" s="1"/>
      <c r="I137" s="1"/>
      <c r="J137" s="1"/>
    </row>
    <row r="138" spans="2:10" s="8" customFormat="1" x14ac:dyDescent="0.25">
      <c r="B138" s="1"/>
      <c r="C138" s="1"/>
      <c r="D138" s="1"/>
      <c r="E138" s="2"/>
      <c r="F138" s="3"/>
      <c r="G138" s="1"/>
      <c r="H138" s="1"/>
      <c r="I138" s="1"/>
      <c r="J138" s="1"/>
    </row>
    <row r="139" spans="2:10" s="8" customFormat="1" x14ac:dyDescent="0.25">
      <c r="B139" s="1"/>
      <c r="C139" s="1"/>
      <c r="D139" s="1"/>
      <c r="E139" s="2"/>
      <c r="F139" s="3"/>
      <c r="G139" s="1"/>
      <c r="H139" s="1"/>
      <c r="I139" s="1"/>
      <c r="J139" s="1"/>
    </row>
    <row r="140" spans="2:10" s="8" customFormat="1" x14ac:dyDescent="0.25">
      <c r="B140" s="1"/>
      <c r="C140" s="1"/>
      <c r="D140" s="1"/>
      <c r="E140" s="2"/>
      <c r="F140" s="3"/>
      <c r="G140" s="1"/>
      <c r="H140" s="1"/>
      <c r="I140" s="1"/>
      <c r="J140" s="1"/>
    </row>
    <row r="141" spans="2:10" s="8" customFormat="1" x14ac:dyDescent="0.25">
      <c r="B141" s="1"/>
      <c r="C141" s="1"/>
      <c r="D141" s="1"/>
      <c r="E141" s="2"/>
      <c r="F141" s="3"/>
      <c r="G141" s="1"/>
      <c r="H141" s="1"/>
      <c r="I141" s="1"/>
      <c r="J141" s="1"/>
    </row>
    <row r="142" spans="2:10" s="8" customFormat="1" x14ac:dyDescent="0.25">
      <c r="B142" s="1"/>
      <c r="C142" s="1"/>
      <c r="D142" s="1"/>
      <c r="E142" s="2"/>
      <c r="F142" s="3"/>
      <c r="G142" s="1"/>
      <c r="H142" s="1"/>
      <c r="I142" s="1"/>
      <c r="J142" s="1"/>
    </row>
    <row r="143" spans="2:10" s="8" customFormat="1" x14ac:dyDescent="0.25">
      <c r="B143" s="1"/>
      <c r="C143" s="1"/>
      <c r="D143" s="1"/>
      <c r="E143" s="2"/>
      <c r="F143" s="3"/>
      <c r="G143" s="1"/>
      <c r="H143" s="1"/>
      <c r="I143" s="1"/>
      <c r="J143" s="1"/>
    </row>
    <row r="144" spans="2:10" s="8" customFormat="1" x14ac:dyDescent="0.25">
      <c r="B144" s="1"/>
      <c r="C144" s="1"/>
      <c r="D144" s="1"/>
      <c r="E144" s="2"/>
      <c r="F144" s="3"/>
      <c r="G144" s="1"/>
      <c r="H144" s="1"/>
      <c r="I144" s="1"/>
      <c r="J144" s="1"/>
    </row>
    <row r="145" spans="2:19" s="8" customFormat="1" x14ac:dyDescent="0.25">
      <c r="B145" s="1"/>
      <c r="C145" s="1"/>
      <c r="D145" s="1"/>
      <c r="E145" s="2"/>
      <c r="F145" s="3"/>
      <c r="G145" s="1"/>
      <c r="H145" s="1"/>
      <c r="I145" s="1"/>
      <c r="J145" s="1"/>
    </row>
    <row r="146" spans="2:19" s="8" customFormat="1" x14ac:dyDescent="0.25">
      <c r="B146" s="1"/>
      <c r="C146" s="1"/>
      <c r="D146" s="1"/>
      <c r="E146" s="2"/>
      <c r="F146" s="3"/>
      <c r="G146" s="1"/>
      <c r="H146" s="1"/>
      <c r="I146" s="1"/>
      <c r="J146" s="1"/>
    </row>
    <row r="147" spans="2:19" s="8" customFormat="1" x14ac:dyDescent="0.25">
      <c r="B147" s="1"/>
      <c r="C147" s="1"/>
      <c r="D147" s="1"/>
      <c r="E147" s="2"/>
      <c r="F147" s="3"/>
      <c r="G147" s="1"/>
      <c r="H147" s="1"/>
      <c r="I147" s="1"/>
      <c r="J147" s="1"/>
      <c r="R147" s="1"/>
      <c r="S147" s="1"/>
    </row>
    <row r="148" spans="2:19" s="8" customFormat="1" x14ac:dyDescent="0.25">
      <c r="B148" s="1"/>
      <c r="C148" s="1"/>
      <c r="D148" s="1"/>
      <c r="E148" s="2"/>
      <c r="F148" s="3"/>
      <c r="G148" s="1"/>
      <c r="H148" s="1"/>
      <c r="I148" s="1"/>
      <c r="J148" s="1"/>
      <c r="L148" s="1"/>
      <c r="M148" s="1"/>
      <c r="N148" s="1"/>
      <c r="O148" s="1"/>
      <c r="P148" s="1"/>
      <c r="Q148" s="1"/>
    </row>
    <row r="149" spans="2:19" s="8" customFormat="1" x14ac:dyDescent="0.25">
      <c r="B149" s="1"/>
      <c r="C149" s="1"/>
      <c r="D149" s="1"/>
      <c r="E149" s="2"/>
      <c r="F149" s="3"/>
      <c r="G149" s="1"/>
      <c r="H149" s="1"/>
      <c r="I149" s="1"/>
      <c r="J149" s="1"/>
      <c r="R149" s="1"/>
      <c r="S149" s="1"/>
    </row>
    <row r="150" spans="2:19" s="8" customFormat="1" x14ac:dyDescent="0.25">
      <c r="B150" s="1"/>
      <c r="C150" s="1"/>
      <c r="D150" s="1"/>
      <c r="E150" s="2"/>
      <c r="F150" s="3"/>
      <c r="G150" s="1"/>
      <c r="H150" s="1"/>
      <c r="I150" s="1"/>
      <c r="J150" s="1"/>
      <c r="L150" s="1"/>
      <c r="M150" s="1"/>
      <c r="N150" s="1"/>
      <c r="O150" s="1"/>
      <c r="P150" s="1"/>
      <c r="Q150" s="1"/>
      <c r="R150" s="1"/>
      <c r="S150" s="1"/>
    </row>
    <row r="151" spans="2:19" s="8" customFormat="1" x14ac:dyDescent="0.25">
      <c r="B151" s="1"/>
      <c r="C151" s="1"/>
      <c r="D151" s="1"/>
      <c r="E151" s="2"/>
      <c r="F151" s="3"/>
      <c r="G151" s="1"/>
      <c r="H151" s="1"/>
      <c r="I151" s="1"/>
      <c r="J151" s="1"/>
      <c r="L151" s="1"/>
      <c r="M151" s="1"/>
      <c r="N151" s="1"/>
      <c r="O151" s="1"/>
      <c r="P151" s="1"/>
      <c r="Q151" s="1"/>
      <c r="R151" s="1"/>
      <c r="S151" s="1"/>
    </row>
    <row r="152" spans="2:19" s="8" customFormat="1" x14ac:dyDescent="0.25">
      <c r="B152" s="1"/>
      <c r="C152" s="1"/>
      <c r="D152" s="1"/>
      <c r="E152" s="2"/>
      <c r="F152" s="3"/>
      <c r="G152" s="1"/>
      <c r="H152" s="1"/>
      <c r="I152" s="1"/>
      <c r="J152" s="1"/>
      <c r="L152" s="1"/>
      <c r="M152" s="1"/>
      <c r="N152" s="1"/>
      <c r="O152" s="1"/>
      <c r="P152" s="1"/>
      <c r="Q152" s="1"/>
      <c r="R152" s="1"/>
      <c r="S152" s="1"/>
    </row>
    <row r="153" spans="2:19" s="8" customFormat="1" x14ac:dyDescent="0.25">
      <c r="B153" s="1"/>
      <c r="C153" s="1"/>
      <c r="D153" s="1"/>
      <c r="E153" s="2"/>
      <c r="F153" s="3"/>
      <c r="G153" s="1"/>
      <c r="H153" s="1"/>
      <c r="I153" s="1"/>
      <c r="J153" s="1"/>
      <c r="L153" s="1"/>
      <c r="M153" s="1"/>
      <c r="N153" s="1"/>
      <c r="O153" s="1"/>
      <c r="P153" s="1"/>
      <c r="Q153" s="1"/>
      <c r="R153" s="1"/>
      <c r="S153" s="1"/>
    </row>
    <row r="154" spans="2:19" s="8" customFormat="1" x14ac:dyDescent="0.25">
      <c r="B154" s="1"/>
      <c r="C154" s="1"/>
      <c r="D154" s="1"/>
      <c r="E154" s="2"/>
      <c r="F154" s="3"/>
      <c r="G154" s="1"/>
      <c r="H154" s="1"/>
      <c r="I154" s="1"/>
      <c r="J154" s="1"/>
      <c r="L154" s="1"/>
      <c r="M154" s="1"/>
      <c r="N154" s="1"/>
      <c r="O154" s="1"/>
      <c r="P154" s="1"/>
      <c r="Q154" s="1"/>
      <c r="R154" s="1"/>
      <c r="S154" s="1"/>
    </row>
    <row r="155" spans="2:19" s="8" customFormat="1" x14ac:dyDescent="0.25">
      <c r="B155" s="1"/>
      <c r="C155" s="1"/>
      <c r="D155" s="1"/>
      <c r="E155" s="2"/>
      <c r="F155" s="3"/>
      <c r="G155" s="1"/>
      <c r="H155" s="1"/>
      <c r="I155" s="1"/>
      <c r="J155" s="1"/>
      <c r="L155" s="1"/>
      <c r="M155" s="1"/>
      <c r="N155" s="1"/>
      <c r="O155" s="1"/>
      <c r="P155" s="1"/>
      <c r="Q155" s="1"/>
      <c r="R155" s="1"/>
      <c r="S155" s="1"/>
    </row>
    <row r="156" spans="2:19" s="8" customFormat="1" x14ac:dyDescent="0.25">
      <c r="B156" s="1"/>
      <c r="C156" s="1"/>
      <c r="D156" s="1"/>
      <c r="E156" s="2"/>
      <c r="F156" s="3"/>
      <c r="G156" s="1"/>
      <c r="H156" s="1"/>
      <c r="I156" s="1"/>
      <c r="J156" s="1"/>
      <c r="L156" s="1"/>
      <c r="M156" s="1"/>
      <c r="N156" s="1"/>
      <c r="O156" s="1"/>
      <c r="P156" s="1"/>
      <c r="Q156" s="1"/>
      <c r="R156" s="1"/>
      <c r="S156" s="1"/>
    </row>
    <row r="157" spans="2:19" s="8" customFormat="1" x14ac:dyDescent="0.25">
      <c r="B157" s="1"/>
      <c r="C157" s="1"/>
      <c r="D157" s="1"/>
      <c r="E157" s="2"/>
      <c r="F157" s="3"/>
      <c r="G157" s="1"/>
      <c r="H157" s="1"/>
      <c r="I157" s="1"/>
      <c r="J157" s="1"/>
      <c r="L157" s="1"/>
      <c r="M157" s="1"/>
      <c r="N157" s="1"/>
      <c r="O157" s="1"/>
      <c r="P157" s="1"/>
      <c r="Q157" s="1"/>
      <c r="R157" s="1"/>
      <c r="S157" s="1"/>
    </row>
    <row r="159" spans="2:19" s="8" customFormat="1" ht="21.75" customHeight="1" x14ac:dyDescent="0.25">
      <c r="B159" s="1"/>
      <c r="C159" s="1"/>
      <c r="D159" s="1"/>
      <c r="E159" s="2"/>
      <c r="F159" s="3"/>
      <c r="G159" s="1"/>
      <c r="H159" s="1"/>
      <c r="I159" s="1"/>
      <c r="J159" s="1"/>
      <c r="L159" s="1"/>
      <c r="M159" s="1"/>
      <c r="N159" s="1"/>
      <c r="O159" s="1"/>
      <c r="P159" s="1"/>
      <c r="Q159" s="1"/>
      <c r="R159" s="1"/>
      <c r="S159" s="1"/>
    </row>
  </sheetData>
  <mergeCells count="18">
    <mergeCell ref="L4:M4"/>
    <mergeCell ref="L5:M5"/>
    <mergeCell ref="L6:M6"/>
    <mergeCell ref="L7:M7"/>
    <mergeCell ref="L2:T2"/>
    <mergeCell ref="N4:T4"/>
    <mergeCell ref="N5:T5"/>
    <mergeCell ref="N6:T6"/>
    <mergeCell ref="N7:T7"/>
    <mergeCell ref="B2:J2"/>
    <mergeCell ref="D7:J7"/>
    <mergeCell ref="D6:J6"/>
    <mergeCell ref="D5:J5"/>
    <mergeCell ref="D4:J4"/>
    <mergeCell ref="B4:C4"/>
    <mergeCell ref="B5:C5"/>
    <mergeCell ref="B6:C6"/>
    <mergeCell ref="B7:C7"/>
  </mergeCells>
  <phoneticPr fontId="6" type="noConversion"/>
  <pageMargins left="0.35433070866141736" right="0.19685039370078741" top="1.55" bottom="1.1417322834645669" header="0" footer="0"/>
  <pageSetup paperSize="9" scale="82" fitToHeight="0" orientation="portrait" r:id="rId1"/>
  <headerFooter scaleWithDoc="0">
    <oddHeader>&amp;C&amp;G</oddHeader>
    <oddFooter>&amp;C&amp;G</oddFooter>
  </headerFooter>
  <legacyDrawingHF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BB8F-6420-41BE-9D7D-C115F8582F41}">
  <dimension ref="B1:T144"/>
  <sheetViews>
    <sheetView topLeftCell="B1" workbookViewId="0">
      <selection activeCell="D10" sqref="D10"/>
    </sheetView>
  </sheetViews>
  <sheetFormatPr defaultRowHeight="14.25" x14ac:dyDescent="0.25"/>
  <cols>
    <col min="1" max="1" width="5.85546875" style="1" customWidth="1"/>
    <col min="2" max="2" width="13.5703125" style="1" customWidth="1"/>
    <col min="3" max="3" width="23" style="1" customWidth="1"/>
    <col min="4" max="4" width="42.7109375" style="1" customWidth="1"/>
    <col min="5" max="5" width="5.85546875" style="2" customWidth="1"/>
    <col min="6" max="6" width="8.7109375" style="3" customWidth="1"/>
    <col min="7" max="7" width="13.85546875" style="1" bestFit="1" customWidth="1"/>
    <col min="8" max="8" width="11.7109375" style="1" customWidth="1"/>
    <col min="9" max="9" width="9" style="1" customWidth="1"/>
    <col min="10" max="10" width="13.28515625" style="1" customWidth="1"/>
    <col min="11" max="11" width="1.5703125" style="1" customWidth="1"/>
    <col min="12" max="12" width="11.42578125" style="1" bestFit="1" customWidth="1"/>
    <col min="13" max="13" width="31.42578125" style="1" customWidth="1"/>
    <col min="14" max="14" width="12.28515625" style="1" customWidth="1"/>
    <col min="15" max="15" width="9.140625" style="1"/>
    <col min="16" max="16" width="10.7109375" style="1" customWidth="1"/>
    <col min="17" max="17" width="9.5703125" style="1" customWidth="1"/>
    <col min="18" max="18" width="9.140625" style="1"/>
    <col min="19" max="19" width="13.28515625" style="1" bestFit="1" customWidth="1"/>
    <col min="20" max="215" width="9.140625" style="1"/>
    <col min="216" max="216" width="11.42578125" style="1" customWidth="1"/>
    <col min="217" max="217" width="25.140625" style="1" customWidth="1"/>
    <col min="218" max="218" width="42.7109375" style="1" customWidth="1"/>
    <col min="219" max="219" width="9.28515625" style="1" customWidth="1"/>
    <col min="220" max="220" width="13.85546875" style="1" customWidth="1"/>
    <col min="221" max="221" width="10.42578125" style="1" customWidth="1"/>
    <col min="222" max="222" width="16.7109375" style="1" customWidth="1"/>
    <col min="223" max="223" width="16.28515625" style="1" customWidth="1"/>
    <col min="224" max="224" width="14.42578125" style="1" customWidth="1"/>
    <col min="225" max="225" width="14.85546875" style="1" customWidth="1"/>
    <col min="226" max="226" width="13" style="1" customWidth="1"/>
    <col min="227" max="227" width="18.7109375" style="1" customWidth="1"/>
    <col min="228" max="228" width="6" style="1" customWidth="1"/>
    <col min="229" max="229" width="15.28515625" style="1" customWidth="1"/>
    <col min="230" max="230" width="28" style="1" customWidth="1"/>
    <col min="231" max="231" width="13.5703125" style="1" customWidth="1"/>
    <col min="232" max="232" width="15.5703125" style="1" customWidth="1"/>
    <col min="233" max="233" width="8.85546875" style="1" customWidth="1"/>
    <col min="234" max="234" width="15.28515625" style="1" customWidth="1"/>
    <col min="235" max="235" width="15.7109375" style="1" customWidth="1"/>
    <col min="236" max="238" width="17.140625" style="1" customWidth="1"/>
    <col min="239" max="239" width="35.7109375" style="1" customWidth="1"/>
    <col min="240" max="240" width="28.5703125" style="1" customWidth="1"/>
    <col min="241" max="241" width="17.140625" style="1" customWidth="1"/>
    <col min="242" max="242" width="28.5703125" style="1" customWidth="1"/>
    <col min="243" max="471" width="9.140625" style="1"/>
    <col min="472" max="472" width="11.42578125" style="1" customWidth="1"/>
    <col min="473" max="473" width="25.140625" style="1" customWidth="1"/>
    <col min="474" max="474" width="42.7109375" style="1" customWidth="1"/>
    <col min="475" max="475" width="9.28515625" style="1" customWidth="1"/>
    <col min="476" max="476" width="13.85546875" style="1" customWidth="1"/>
    <col min="477" max="477" width="10.42578125" style="1" customWidth="1"/>
    <col min="478" max="478" width="16.7109375" style="1" customWidth="1"/>
    <col min="479" max="479" width="16.28515625" style="1" customWidth="1"/>
    <col min="480" max="480" width="14.42578125" style="1" customWidth="1"/>
    <col min="481" max="481" width="14.85546875" style="1" customWidth="1"/>
    <col min="482" max="482" width="13" style="1" customWidth="1"/>
    <col min="483" max="483" width="18.7109375" style="1" customWidth="1"/>
    <col min="484" max="484" width="6" style="1" customWidth="1"/>
    <col min="485" max="485" width="15.28515625" style="1" customWidth="1"/>
    <col min="486" max="486" width="28" style="1" customWidth="1"/>
    <col min="487" max="487" width="13.5703125" style="1" customWidth="1"/>
    <col min="488" max="488" width="15.5703125" style="1" customWidth="1"/>
    <col min="489" max="489" width="8.85546875" style="1" customWidth="1"/>
    <col min="490" max="490" width="15.28515625" style="1" customWidth="1"/>
    <col min="491" max="491" width="15.7109375" style="1" customWidth="1"/>
    <col min="492" max="494" width="17.140625" style="1" customWidth="1"/>
    <col min="495" max="495" width="35.7109375" style="1" customWidth="1"/>
    <col min="496" max="496" width="28.5703125" style="1" customWidth="1"/>
    <col min="497" max="497" width="17.140625" style="1" customWidth="1"/>
    <col min="498" max="498" width="28.5703125" style="1" customWidth="1"/>
    <col min="499" max="727" width="9.140625" style="1"/>
    <col min="728" max="728" width="11.42578125" style="1" customWidth="1"/>
    <col min="729" max="729" width="25.140625" style="1" customWidth="1"/>
    <col min="730" max="730" width="42.7109375" style="1" customWidth="1"/>
    <col min="731" max="731" width="9.28515625" style="1" customWidth="1"/>
    <col min="732" max="732" width="13.85546875" style="1" customWidth="1"/>
    <col min="733" max="733" width="10.42578125" style="1" customWidth="1"/>
    <col min="734" max="734" width="16.7109375" style="1" customWidth="1"/>
    <col min="735" max="735" width="16.28515625" style="1" customWidth="1"/>
    <col min="736" max="736" width="14.42578125" style="1" customWidth="1"/>
    <col min="737" max="737" width="14.85546875" style="1" customWidth="1"/>
    <col min="738" max="738" width="13" style="1" customWidth="1"/>
    <col min="739" max="739" width="18.7109375" style="1" customWidth="1"/>
    <col min="740" max="740" width="6" style="1" customWidth="1"/>
    <col min="741" max="741" width="15.28515625" style="1" customWidth="1"/>
    <col min="742" max="742" width="28" style="1" customWidth="1"/>
    <col min="743" max="743" width="13.5703125" style="1" customWidth="1"/>
    <col min="744" max="744" width="15.5703125" style="1" customWidth="1"/>
    <col min="745" max="745" width="8.85546875" style="1" customWidth="1"/>
    <col min="746" max="746" width="15.28515625" style="1" customWidth="1"/>
    <col min="747" max="747" width="15.7109375" style="1" customWidth="1"/>
    <col min="748" max="750" width="17.140625" style="1" customWidth="1"/>
    <col min="751" max="751" width="35.7109375" style="1" customWidth="1"/>
    <col min="752" max="752" width="28.5703125" style="1" customWidth="1"/>
    <col min="753" max="753" width="17.140625" style="1" customWidth="1"/>
    <col min="754" max="754" width="28.5703125" style="1" customWidth="1"/>
    <col min="755" max="983" width="9.140625" style="1"/>
    <col min="984" max="984" width="11.42578125" style="1" customWidth="1"/>
    <col min="985" max="985" width="25.140625" style="1" customWidth="1"/>
    <col min="986" max="986" width="42.7109375" style="1" customWidth="1"/>
    <col min="987" max="987" width="9.28515625" style="1" customWidth="1"/>
    <col min="988" max="988" width="13.85546875" style="1" customWidth="1"/>
    <col min="989" max="989" width="10.42578125" style="1" customWidth="1"/>
    <col min="990" max="990" width="16.7109375" style="1" customWidth="1"/>
    <col min="991" max="991" width="16.28515625" style="1" customWidth="1"/>
    <col min="992" max="992" width="14.42578125" style="1" customWidth="1"/>
    <col min="993" max="993" width="14.85546875" style="1" customWidth="1"/>
    <col min="994" max="994" width="13" style="1" customWidth="1"/>
    <col min="995" max="995" width="18.7109375" style="1" customWidth="1"/>
    <col min="996" max="996" width="6" style="1" customWidth="1"/>
    <col min="997" max="997" width="15.28515625" style="1" customWidth="1"/>
    <col min="998" max="998" width="28" style="1" customWidth="1"/>
    <col min="999" max="999" width="13.5703125" style="1" customWidth="1"/>
    <col min="1000" max="1000" width="15.5703125" style="1" customWidth="1"/>
    <col min="1001" max="1001" width="8.85546875" style="1" customWidth="1"/>
    <col min="1002" max="1002" width="15.28515625" style="1" customWidth="1"/>
    <col min="1003" max="1003" width="15.7109375" style="1" customWidth="1"/>
    <col min="1004" max="1006" width="17.140625" style="1" customWidth="1"/>
    <col min="1007" max="1007" width="35.7109375" style="1" customWidth="1"/>
    <col min="1008" max="1008" width="28.5703125" style="1" customWidth="1"/>
    <col min="1009" max="1009" width="17.140625" style="1" customWidth="1"/>
    <col min="1010" max="1010" width="28.5703125" style="1" customWidth="1"/>
    <col min="1011" max="1239" width="9.140625" style="1"/>
    <col min="1240" max="1240" width="11.42578125" style="1" customWidth="1"/>
    <col min="1241" max="1241" width="25.140625" style="1" customWidth="1"/>
    <col min="1242" max="1242" width="42.7109375" style="1" customWidth="1"/>
    <col min="1243" max="1243" width="9.28515625" style="1" customWidth="1"/>
    <col min="1244" max="1244" width="13.85546875" style="1" customWidth="1"/>
    <col min="1245" max="1245" width="10.42578125" style="1" customWidth="1"/>
    <col min="1246" max="1246" width="16.7109375" style="1" customWidth="1"/>
    <col min="1247" max="1247" width="16.28515625" style="1" customWidth="1"/>
    <col min="1248" max="1248" width="14.42578125" style="1" customWidth="1"/>
    <col min="1249" max="1249" width="14.85546875" style="1" customWidth="1"/>
    <col min="1250" max="1250" width="13" style="1" customWidth="1"/>
    <col min="1251" max="1251" width="18.7109375" style="1" customWidth="1"/>
    <col min="1252" max="1252" width="6" style="1" customWidth="1"/>
    <col min="1253" max="1253" width="15.28515625" style="1" customWidth="1"/>
    <col min="1254" max="1254" width="28" style="1" customWidth="1"/>
    <col min="1255" max="1255" width="13.5703125" style="1" customWidth="1"/>
    <col min="1256" max="1256" width="15.5703125" style="1" customWidth="1"/>
    <col min="1257" max="1257" width="8.85546875" style="1" customWidth="1"/>
    <col min="1258" max="1258" width="15.28515625" style="1" customWidth="1"/>
    <col min="1259" max="1259" width="15.7109375" style="1" customWidth="1"/>
    <col min="1260" max="1262" width="17.140625" style="1" customWidth="1"/>
    <col min="1263" max="1263" width="35.7109375" style="1" customWidth="1"/>
    <col min="1264" max="1264" width="28.5703125" style="1" customWidth="1"/>
    <col min="1265" max="1265" width="17.140625" style="1" customWidth="1"/>
    <col min="1266" max="1266" width="28.5703125" style="1" customWidth="1"/>
    <col min="1267" max="1495" width="9.140625" style="1"/>
    <col min="1496" max="1496" width="11.42578125" style="1" customWidth="1"/>
    <col min="1497" max="1497" width="25.140625" style="1" customWidth="1"/>
    <col min="1498" max="1498" width="42.7109375" style="1" customWidth="1"/>
    <col min="1499" max="1499" width="9.28515625" style="1" customWidth="1"/>
    <col min="1500" max="1500" width="13.85546875" style="1" customWidth="1"/>
    <col min="1501" max="1501" width="10.42578125" style="1" customWidth="1"/>
    <col min="1502" max="1502" width="16.7109375" style="1" customWidth="1"/>
    <col min="1503" max="1503" width="16.28515625" style="1" customWidth="1"/>
    <col min="1504" max="1504" width="14.42578125" style="1" customWidth="1"/>
    <col min="1505" max="1505" width="14.85546875" style="1" customWidth="1"/>
    <col min="1506" max="1506" width="13" style="1" customWidth="1"/>
    <col min="1507" max="1507" width="18.7109375" style="1" customWidth="1"/>
    <col min="1508" max="1508" width="6" style="1" customWidth="1"/>
    <col min="1509" max="1509" width="15.28515625" style="1" customWidth="1"/>
    <col min="1510" max="1510" width="28" style="1" customWidth="1"/>
    <col min="1511" max="1511" width="13.5703125" style="1" customWidth="1"/>
    <col min="1512" max="1512" width="15.5703125" style="1" customWidth="1"/>
    <col min="1513" max="1513" width="8.85546875" style="1" customWidth="1"/>
    <col min="1514" max="1514" width="15.28515625" style="1" customWidth="1"/>
    <col min="1515" max="1515" width="15.7109375" style="1" customWidth="1"/>
    <col min="1516" max="1518" width="17.140625" style="1" customWidth="1"/>
    <col min="1519" max="1519" width="35.7109375" style="1" customWidth="1"/>
    <col min="1520" max="1520" width="28.5703125" style="1" customWidth="1"/>
    <col min="1521" max="1521" width="17.140625" style="1" customWidth="1"/>
    <col min="1522" max="1522" width="28.5703125" style="1" customWidth="1"/>
    <col min="1523" max="1751" width="9.140625" style="1"/>
    <col min="1752" max="1752" width="11.42578125" style="1" customWidth="1"/>
    <col min="1753" max="1753" width="25.140625" style="1" customWidth="1"/>
    <col min="1754" max="1754" width="42.7109375" style="1" customWidth="1"/>
    <col min="1755" max="1755" width="9.28515625" style="1" customWidth="1"/>
    <col min="1756" max="1756" width="13.85546875" style="1" customWidth="1"/>
    <col min="1757" max="1757" width="10.42578125" style="1" customWidth="1"/>
    <col min="1758" max="1758" width="16.7109375" style="1" customWidth="1"/>
    <col min="1759" max="1759" width="16.28515625" style="1" customWidth="1"/>
    <col min="1760" max="1760" width="14.42578125" style="1" customWidth="1"/>
    <col min="1761" max="1761" width="14.85546875" style="1" customWidth="1"/>
    <col min="1762" max="1762" width="13" style="1" customWidth="1"/>
    <col min="1763" max="1763" width="18.7109375" style="1" customWidth="1"/>
    <col min="1764" max="1764" width="6" style="1" customWidth="1"/>
    <col min="1765" max="1765" width="15.28515625" style="1" customWidth="1"/>
    <col min="1766" max="1766" width="28" style="1" customWidth="1"/>
    <col min="1767" max="1767" width="13.5703125" style="1" customWidth="1"/>
    <col min="1768" max="1768" width="15.5703125" style="1" customWidth="1"/>
    <col min="1769" max="1769" width="8.85546875" style="1" customWidth="1"/>
    <col min="1770" max="1770" width="15.28515625" style="1" customWidth="1"/>
    <col min="1771" max="1771" width="15.7109375" style="1" customWidth="1"/>
    <col min="1772" max="1774" width="17.140625" style="1" customWidth="1"/>
    <col min="1775" max="1775" width="35.7109375" style="1" customWidth="1"/>
    <col min="1776" max="1776" width="28.5703125" style="1" customWidth="1"/>
    <col min="1777" max="1777" width="17.140625" style="1" customWidth="1"/>
    <col min="1778" max="1778" width="28.5703125" style="1" customWidth="1"/>
    <col min="1779" max="2007" width="9.140625" style="1"/>
    <col min="2008" max="2008" width="11.42578125" style="1" customWidth="1"/>
    <col min="2009" max="2009" width="25.140625" style="1" customWidth="1"/>
    <col min="2010" max="2010" width="42.7109375" style="1" customWidth="1"/>
    <col min="2011" max="2011" width="9.28515625" style="1" customWidth="1"/>
    <col min="2012" max="2012" width="13.85546875" style="1" customWidth="1"/>
    <col min="2013" max="2013" width="10.42578125" style="1" customWidth="1"/>
    <col min="2014" max="2014" width="16.7109375" style="1" customWidth="1"/>
    <col min="2015" max="2015" width="16.28515625" style="1" customWidth="1"/>
    <col min="2016" max="2016" width="14.42578125" style="1" customWidth="1"/>
    <col min="2017" max="2017" width="14.85546875" style="1" customWidth="1"/>
    <col min="2018" max="2018" width="13" style="1" customWidth="1"/>
    <col min="2019" max="2019" width="18.7109375" style="1" customWidth="1"/>
    <col min="2020" max="2020" width="6" style="1" customWidth="1"/>
    <col min="2021" max="2021" width="15.28515625" style="1" customWidth="1"/>
    <col min="2022" max="2022" width="28" style="1" customWidth="1"/>
    <col min="2023" max="2023" width="13.5703125" style="1" customWidth="1"/>
    <col min="2024" max="2024" width="15.5703125" style="1" customWidth="1"/>
    <col min="2025" max="2025" width="8.85546875" style="1" customWidth="1"/>
    <col min="2026" max="2026" width="15.28515625" style="1" customWidth="1"/>
    <col min="2027" max="2027" width="15.7109375" style="1" customWidth="1"/>
    <col min="2028" max="2030" width="17.140625" style="1" customWidth="1"/>
    <col min="2031" max="2031" width="35.7109375" style="1" customWidth="1"/>
    <col min="2032" max="2032" width="28.5703125" style="1" customWidth="1"/>
    <col min="2033" max="2033" width="17.140625" style="1" customWidth="1"/>
    <col min="2034" max="2034" width="28.5703125" style="1" customWidth="1"/>
    <col min="2035" max="2263" width="9.140625" style="1"/>
    <col min="2264" max="2264" width="11.42578125" style="1" customWidth="1"/>
    <col min="2265" max="2265" width="25.140625" style="1" customWidth="1"/>
    <col min="2266" max="2266" width="42.7109375" style="1" customWidth="1"/>
    <col min="2267" max="2267" width="9.28515625" style="1" customWidth="1"/>
    <col min="2268" max="2268" width="13.85546875" style="1" customWidth="1"/>
    <col min="2269" max="2269" width="10.42578125" style="1" customWidth="1"/>
    <col min="2270" max="2270" width="16.7109375" style="1" customWidth="1"/>
    <col min="2271" max="2271" width="16.28515625" style="1" customWidth="1"/>
    <col min="2272" max="2272" width="14.42578125" style="1" customWidth="1"/>
    <col min="2273" max="2273" width="14.85546875" style="1" customWidth="1"/>
    <col min="2274" max="2274" width="13" style="1" customWidth="1"/>
    <col min="2275" max="2275" width="18.7109375" style="1" customWidth="1"/>
    <col min="2276" max="2276" width="6" style="1" customWidth="1"/>
    <col min="2277" max="2277" width="15.28515625" style="1" customWidth="1"/>
    <col min="2278" max="2278" width="28" style="1" customWidth="1"/>
    <col min="2279" max="2279" width="13.5703125" style="1" customWidth="1"/>
    <col min="2280" max="2280" width="15.5703125" style="1" customWidth="1"/>
    <col min="2281" max="2281" width="8.85546875" style="1" customWidth="1"/>
    <col min="2282" max="2282" width="15.28515625" style="1" customWidth="1"/>
    <col min="2283" max="2283" width="15.7109375" style="1" customWidth="1"/>
    <col min="2284" max="2286" width="17.140625" style="1" customWidth="1"/>
    <col min="2287" max="2287" width="35.7109375" style="1" customWidth="1"/>
    <col min="2288" max="2288" width="28.5703125" style="1" customWidth="1"/>
    <col min="2289" max="2289" width="17.140625" style="1" customWidth="1"/>
    <col min="2290" max="2290" width="28.5703125" style="1" customWidth="1"/>
    <col min="2291" max="2519" width="9.140625" style="1"/>
    <col min="2520" max="2520" width="11.42578125" style="1" customWidth="1"/>
    <col min="2521" max="2521" width="25.140625" style="1" customWidth="1"/>
    <col min="2522" max="2522" width="42.7109375" style="1" customWidth="1"/>
    <col min="2523" max="2523" width="9.28515625" style="1" customWidth="1"/>
    <col min="2524" max="2524" width="13.85546875" style="1" customWidth="1"/>
    <col min="2525" max="2525" width="10.42578125" style="1" customWidth="1"/>
    <col min="2526" max="2526" width="16.7109375" style="1" customWidth="1"/>
    <col min="2527" max="2527" width="16.28515625" style="1" customWidth="1"/>
    <col min="2528" max="2528" width="14.42578125" style="1" customWidth="1"/>
    <col min="2529" max="2529" width="14.85546875" style="1" customWidth="1"/>
    <col min="2530" max="2530" width="13" style="1" customWidth="1"/>
    <col min="2531" max="2531" width="18.7109375" style="1" customWidth="1"/>
    <col min="2532" max="2532" width="6" style="1" customWidth="1"/>
    <col min="2533" max="2533" width="15.28515625" style="1" customWidth="1"/>
    <col min="2534" max="2534" width="28" style="1" customWidth="1"/>
    <col min="2535" max="2535" width="13.5703125" style="1" customWidth="1"/>
    <col min="2536" max="2536" width="15.5703125" style="1" customWidth="1"/>
    <col min="2537" max="2537" width="8.85546875" style="1" customWidth="1"/>
    <col min="2538" max="2538" width="15.28515625" style="1" customWidth="1"/>
    <col min="2539" max="2539" width="15.7109375" style="1" customWidth="1"/>
    <col min="2540" max="2542" width="17.140625" style="1" customWidth="1"/>
    <col min="2543" max="2543" width="35.7109375" style="1" customWidth="1"/>
    <col min="2544" max="2544" width="28.5703125" style="1" customWidth="1"/>
    <col min="2545" max="2545" width="17.140625" style="1" customWidth="1"/>
    <col min="2546" max="2546" width="28.5703125" style="1" customWidth="1"/>
    <col min="2547" max="2775" width="9.140625" style="1"/>
    <col min="2776" max="2776" width="11.42578125" style="1" customWidth="1"/>
    <col min="2777" max="2777" width="25.140625" style="1" customWidth="1"/>
    <col min="2778" max="2778" width="42.7109375" style="1" customWidth="1"/>
    <col min="2779" max="2779" width="9.28515625" style="1" customWidth="1"/>
    <col min="2780" max="2780" width="13.85546875" style="1" customWidth="1"/>
    <col min="2781" max="2781" width="10.42578125" style="1" customWidth="1"/>
    <col min="2782" max="2782" width="16.7109375" style="1" customWidth="1"/>
    <col min="2783" max="2783" width="16.28515625" style="1" customWidth="1"/>
    <col min="2784" max="2784" width="14.42578125" style="1" customWidth="1"/>
    <col min="2785" max="2785" width="14.85546875" style="1" customWidth="1"/>
    <col min="2786" max="2786" width="13" style="1" customWidth="1"/>
    <col min="2787" max="2787" width="18.7109375" style="1" customWidth="1"/>
    <col min="2788" max="2788" width="6" style="1" customWidth="1"/>
    <col min="2789" max="2789" width="15.28515625" style="1" customWidth="1"/>
    <col min="2790" max="2790" width="28" style="1" customWidth="1"/>
    <col min="2791" max="2791" width="13.5703125" style="1" customWidth="1"/>
    <col min="2792" max="2792" width="15.5703125" style="1" customWidth="1"/>
    <col min="2793" max="2793" width="8.85546875" style="1" customWidth="1"/>
    <col min="2794" max="2794" width="15.28515625" style="1" customWidth="1"/>
    <col min="2795" max="2795" width="15.7109375" style="1" customWidth="1"/>
    <col min="2796" max="2798" width="17.140625" style="1" customWidth="1"/>
    <col min="2799" max="2799" width="35.7109375" style="1" customWidth="1"/>
    <col min="2800" max="2800" width="28.5703125" style="1" customWidth="1"/>
    <col min="2801" max="2801" width="17.140625" style="1" customWidth="1"/>
    <col min="2802" max="2802" width="28.5703125" style="1" customWidth="1"/>
    <col min="2803" max="3031" width="9.140625" style="1"/>
    <col min="3032" max="3032" width="11.42578125" style="1" customWidth="1"/>
    <col min="3033" max="3033" width="25.140625" style="1" customWidth="1"/>
    <col min="3034" max="3034" width="42.7109375" style="1" customWidth="1"/>
    <col min="3035" max="3035" width="9.28515625" style="1" customWidth="1"/>
    <col min="3036" max="3036" width="13.85546875" style="1" customWidth="1"/>
    <col min="3037" max="3037" width="10.42578125" style="1" customWidth="1"/>
    <col min="3038" max="3038" width="16.7109375" style="1" customWidth="1"/>
    <col min="3039" max="3039" width="16.28515625" style="1" customWidth="1"/>
    <col min="3040" max="3040" width="14.42578125" style="1" customWidth="1"/>
    <col min="3041" max="3041" width="14.85546875" style="1" customWidth="1"/>
    <col min="3042" max="3042" width="13" style="1" customWidth="1"/>
    <col min="3043" max="3043" width="18.7109375" style="1" customWidth="1"/>
    <col min="3044" max="3044" width="6" style="1" customWidth="1"/>
    <col min="3045" max="3045" width="15.28515625" style="1" customWidth="1"/>
    <col min="3046" max="3046" width="28" style="1" customWidth="1"/>
    <col min="3047" max="3047" width="13.5703125" style="1" customWidth="1"/>
    <col min="3048" max="3048" width="15.5703125" style="1" customWidth="1"/>
    <col min="3049" max="3049" width="8.85546875" style="1" customWidth="1"/>
    <col min="3050" max="3050" width="15.28515625" style="1" customWidth="1"/>
    <col min="3051" max="3051" width="15.7109375" style="1" customWidth="1"/>
    <col min="3052" max="3054" width="17.140625" style="1" customWidth="1"/>
    <col min="3055" max="3055" width="35.7109375" style="1" customWidth="1"/>
    <col min="3056" max="3056" width="28.5703125" style="1" customWidth="1"/>
    <col min="3057" max="3057" width="17.140625" style="1" customWidth="1"/>
    <col min="3058" max="3058" width="28.5703125" style="1" customWidth="1"/>
    <col min="3059" max="3287" width="9.140625" style="1"/>
    <col min="3288" max="3288" width="11.42578125" style="1" customWidth="1"/>
    <col min="3289" max="3289" width="25.140625" style="1" customWidth="1"/>
    <col min="3290" max="3290" width="42.7109375" style="1" customWidth="1"/>
    <col min="3291" max="3291" width="9.28515625" style="1" customWidth="1"/>
    <col min="3292" max="3292" width="13.85546875" style="1" customWidth="1"/>
    <col min="3293" max="3293" width="10.42578125" style="1" customWidth="1"/>
    <col min="3294" max="3294" width="16.7109375" style="1" customWidth="1"/>
    <col min="3295" max="3295" width="16.28515625" style="1" customWidth="1"/>
    <col min="3296" max="3296" width="14.42578125" style="1" customWidth="1"/>
    <col min="3297" max="3297" width="14.85546875" style="1" customWidth="1"/>
    <col min="3298" max="3298" width="13" style="1" customWidth="1"/>
    <col min="3299" max="3299" width="18.7109375" style="1" customWidth="1"/>
    <col min="3300" max="3300" width="6" style="1" customWidth="1"/>
    <col min="3301" max="3301" width="15.28515625" style="1" customWidth="1"/>
    <col min="3302" max="3302" width="28" style="1" customWidth="1"/>
    <col min="3303" max="3303" width="13.5703125" style="1" customWidth="1"/>
    <col min="3304" max="3304" width="15.5703125" style="1" customWidth="1"/>
    <col min="3305" max="3305" width="8.85546875" style="1" customWidth="1"/>
    <col min="3306" max="3306" width="15.28515625" style="1" customWidth="1"/>
    <col min="3307" max="3307" width="15.7109375" style="1" customWidth="1"/>
    <col min="3308" max="3310" width="17.140625" style="1" customWidth="1"/>
    <col min="3311" max="3311" width="35.7109375" style="1" customWidth="1"/>
    <col min="3312" max="3312" width="28.5703125" style="1" customWidth="1"/>
    <col min="3313" max="3313" width="17.140625" style="1" customWidth="1"/>
    <col min="3314" max="3314" width="28.5703125" style="1" customWidth="1"/>
    <col min="3315" max="3543" width="9.140625" style="1"/>
    <col min="3544" max="3544" width="11.42578125" style="1" customWidth="1"/>
    <col min="3545" max="3545" width="25.140625" style="1" customWidth="1"/>
    <col min="3546" max="3546" width="42.7109375" style="1" customWidth="1"/>
    <col min="3547" max="3547" width="9.28515625" style="1" customWidth="1"/>
    <col min="3548" max="3548" width="13.85546875" style="1" customWidth="1"/>
    <col min="3549" max="3549" width="10.42578125" style="1" customWidth="1"/>
    <col min="3550" max="3550" width="16.7109375" style="1" customWidth="1"/>
    <col min="3551" max="3551" width="16.28515625" style="1" customWidth="1"/>
    <col min="3552" max="3552" width="14.42578125" style="1" customWidth="1"/>
    <col min="3553" max="3553" width="14.85546875" style="1" customWidth="1"/>
    <col min="3554" max="3554" width="13" style="1" customWidth="1"/>
    <col min="3555" max="3555" width="18.7109375" style="1" customWidth="1"/>
    <col min="3556" max="3556" width="6" style="1" customWidth="1"/>
    <col min="3557" max="3557" width="15.28515625" style="1" customWidth="1"/>
    <col min="3558" max="3558" width="28" style="1" customWidth="1"/>
    <col min="3559" max="3559" width="13.5703125" style="1" customWidth="1"/>
    <col min="3560" max="3560" width="15.5703125" style="1" customWidth="1"/>
    <col min="3561" max="3561" width="8.85546875" style="1" customWidth="1"/>
    <col min="3562" max="3562" width="15.28515625" style="1" customWidth="1"/>
    <col min="3563" max="3563" width="15.7109375" style="1" customWidth="1"/>
    <col min="3564" max="3566" width="17.140625" style="1" customWidth="1"/>
    <col min="3567" max="3567" width="35.7109375" style="1" customWidth="1"/>
    <col min="3568" max="3568" width="28.5703125" style="1" customWidth="1"/>
    <col min="3569" max="3569" width="17.140625" style="1" customWidth="1"/>
    <col min="3570" max="3570" width="28.5703125" style="1" customWidth="1"/>
    <col min="3571" max="3799" width="9.140625" style="1"/>
    <col min="3800" max="3800" width="11.42578125" style="1" customWidth="1"/>
    <col min="3801" max="3801" width="25.140625" style="1" customWidth="1"/>
    <col min="3802" max="3802" width="42.7109375" style="1" customWidth="1"/>
    <col min="3803" max="3803" width="9.28515625" style="1" customWidth="1"/>
    <col min="3804" max="3804" width="13.85546875" style="1" customWidth="1"/>
    <col min="3805" max="3805" width="10.42578125" style="1" customWidth="1"/>
    <col min="3806" max="3806" width="16.7109375" style="1" customWidth="1"/>
    <col min="3807" max="3807" width="16.28515625" style="1" customWidth="1"/>
    <col min="3808" max="3808" width="14.42578125" style="1" customWidth="1"/>
    <col min="3809" max="3809" width="14.85546875" style="1" customWidth="1"/>
    <col min="3810" max="3810" width="13" style="1" customWidth="1"/>
    <col min="3811" max="3811" width="18.7109375" style="1" customWidth="1"/>
    <col min="3812" max="3812" width="6" style="1" customWidth="1"/>
    <col min="3813" max="3813" width="15.28515625" style="1" customWidth="1"/>
    <col min="3814" max="3814" width="28" style="1" customWidth="1"/>
    <col min="3815" max="3815" width="13.5703125" style="1" customWidth="1"/>
    <col min="3816" max="3816" width="15.5703125" style="1" customWidth="1"/>
    <col min="3817" max="3817" width="8.85546875" style="1" customWidth="1"/>
    <col min="3818" max="3818" width="15.28515625" style="1" customWidth="1"/>
    <col min="3819" max="3819" width="15.7109375" style="1" customWidth="1"/>
    <col min="3820" max="3822" width="17.140625" style="1" customWidth="1"/>
    <col min="3823" max="3823" width="35.7109375" style="1" customWidth="1"/>
    <col min="3824" max="3824" width="28.5703125" style="1" customWidth="1"/>
    <col min="3825" max="3825" width="17.140625" style="1" customWidth="1"/>
    <col min="3826" max="3826" width="28.5703125" style="1" customWidth="1"/>
    <col min="3827" max="4055" width="9.140625" style="1"/>
    <col min="4056" max="4056" width="11.42578125" style="1" customWidth="1"/>
    <col min="4057" max="4057" width="25.140625" style="1" customWidth="1"/>
    <col min="4058" max="4058" width="42.7109375" style="1" customWidth="1"/>
    <col min="4059" max="4059" width="9.28515625" style="1" customWidth="1"/>
    <col min="4060" max="4060" width="13.85546875" style="1" customWidth="1"/>
    <col min="4061" max="4061" width="10.42578125" style="1" customWidth="1"/>
    <col min="4062" max="4062" width="16.7109375" style="1" customWidth="1"/>
    <col min="4063" max="4063" width="16.28515625" style="1" customWidth="1"/>
    <col min="4064" max="4064" width="14.42578125" style="1" customWidth="1"/>
    <col min="4065" max="4065" width="14.85546875" style="1" customWidth="1"/>
    <col min="4066" max="4066" width="13" style="1" customWidth="1"/>
    <col min="4067" max="4067" width="18.7109375" style="1" customWidth="1"/>
    <col min="4068" max="4068" width="6" style="1" customWidth="1"/>
    <col min="4069" max="4069" width="15.28515625" style="1" customWidth="1"/>
    <col min="4070" max="4070" width="28" style="1" customWidth="1"/>
    <col min="4071" max="4071" width="13.5703125" style="1" customWidth="1"/>
    <col min="4072" max="4072" width="15.5703125" style="1" customWidth="1"/>
    <col min="4073" max="4073" width="8.85546875" style="1" customWidth="1"/>
    <col min="4074" max="4074" width="15.28515625" style="1" customWidth="1"/>
    <col min="4075" max="4075" width="15.7109375" style="1" customWidth="1"/>
    <col min="4076" max="4078" width="17.140625" style="1" customWidth="1"/>
    <col min="4079" max="4079" width="35.7109375" style="1" customWidth="1"/>
    <col min="4080" max="4080" width="28.5703125" style="1" customWidth="1"/>
    <col min="4081" max="4081" width="17.140625" style="1" customWidth="1"/>
    <col min="4082" max="4082" width="28.5703125" style="1" customWidth="1"/>
    <col min="4083" max="4311" width="9.140625" style="1"/>
    <col min="4312" max="4312" width="11.42578125" style="1" customWidth="1"/>
    <col min="4313" max="4313" width="25.140625" style="1" customWidth="1"/>
    <col min="4314" max="4314" width="42.7109375" style="1" customWidth="1"/>
    <col min="4315" max="4315" width="9.28515625" style="1" customWidth="1"/>
    <col min="4316" max="4316" width="13.85546875" style="1" customWidth="1"/>
    <col min="4317" max="4317" width="10.42578125" style="1" customWidth="1"/>
    <col min="4318" max="4318" width="16.7109375" style="1" customWidth="1"/>
    <col min="4319" max="4319" width="16.28515625" style="1" customWidth="1"/>
    <col min="4320" max="4320" width="14.42578125" style="1" customWidth="1"/>
    <col min="4321" max="4321" width="14.85546875" style="1" customWidth="1"/>
    <col min="4322" max="4322" width="13" style="1" customWidth="1"/>
    <col min="4323" max="4323" width="18.7109375" style="1" customWidth="1"/>
    <col min="4324" max="4324" width="6" style="1" customWidth="1"/>
    <col min="4325" max="4325" width="15.28515625" style="1" customWidth="1"/>
    <col min="4326" max="4326" width="28" style="1" customWidth="1"/>
    <col min="4327" max="4327" width="13.5703125" style="1" customWidth="1"/>
    <col min="4328" max="4328" width="15.5703125" style="1" customWidth="1"/>
    <col min="4329" max="4329" width="8.85546875" style="1" customWidth="1"/>
    <col min="4330" max="4330" width="15.28515625" style="1" customWidth="1"/>
    <col min="4331" max="4331" width="15.7109375" style="1" customWidth="1"/>
    <col min="4332" max="4334" width="17.140625" style="1" customWidth="1"/>
    <col min="4335" max="4335" width="35.7109375" style="1" customWidth="1"/>
    <col min="4336" max="4336" width="28.5703125" style="1" customWidth="1"/>
    <col min="4337" max="4337" width="17.140625" style="1" customWidth="1"/>
    <col min="4338" max="4338" width="28.5703125" style="1" customWidth="1"/>
    <col min="4339" max="4567" width="9.140625" style="1"/>
    <col min="4568" max="4568" width="11.42578125" style="1" customWidth="1"/>
    <col min="4569" max="4569" width="25.140625" style="1" customWidth="1"/>
    <col min="4570" max="4570" width="42.7109375" style="1" customWidth="1"/>
    <col min="4571" max="4571" width="9.28515625" style="1" customWidth="1"/>
    <col min="4572" max="4572" width="13.85546875" style="1" customWidth="1"/>
    <col min="4573" max="4573" width="10.42578125" style="1" customWidth="1"/>
    <col min="4574" max="4574" width="16.7109375" style="1" customWidth="1"/>
    <col min="4575" max="4575" width="16.28515625" style="1" customWidth="1"/>
    <col min="4576" max="4576" width="14.42578125" style="1" customWidth="1"/>
    <col min="4577" max="4577" width="14.85546875" style="1" customWidth="1"/>
    <col min="4578" max="4578" width="13" style="1" customWidth="1"/>
    <col min="4579" max="4579" width="18.7109375" style="1" customWidth="1"/>
    <col min="4580" max="4580" width="6" style="1" customWidth="1"/>
    <col min="4581" max="4581" width="15.28515625" style="1" customWidth="1"/>
    <col min="4582" max="4582" width="28" style="1" customWidth="1"/>
    <col min="4583" max="4583" width="13.5703125" style="1" customWidth="1"/>
    <col min="4584" max="4584" width="15.5703125" style="1" customWidth="1"/>
    <col min="4585" max="4585" width="8.85546875" style="1" customWidth="1"/>
    <col min="4586" max="4586" width="15.28515625" style="1" customWidth="1"/>
    <col min="4587" max="4587" width="15.7109375" style="1" customWidth="1"/>
    <col min="4588" max="4590" width="17.140625" style="1" customWidth="1"/>
    <col min="4591" max="4591" width="35.7109375" style="1" customWidth="1"/>
    <col min="4592" max="4592" width="28.5703125" style="1" customWidth="1"/>
    <col min="4593" max="4593" width="17.140625" style="1" customWidth="1"/>
    <col min="4594" max="4594" width="28.5703125" style="1" customWidth="1"/>
    <col min="4595" max="4823" width="9.140625" style="1"/>
    <col min="4824" max="4824" width="11.42578125" style="1" customWidth="1"/>
    <col min="4825" max="4825" width="25.140625" style="1" customWidth="1"/>
    <col min="4826" max="4826" width="42.7109375" style="1" customWidth="1"/>
    <col min="4827" max="4827" width="9.28515625" style="1" customWidth="1"/>
    <col min="4828" max="4828" width="13.85546875" style="1" customWidth="1"/>
    <col min="4829" max="4829" width="10.42578125" style="1" customWidth="1"/>
    <col min="4830" max="4830" width="16.7109375" style="1" customWidth="1"/>
    <col min="4831" max="4831" width="16.28515625" style="1" customWidth="1"/>
    <col min="4832" max="4832" width="14.42578125" style="1" customWidth="1"/>
    <col min="4833" max="4833" width="14.85546875" style="1" customWidth="1"/>
    <col min="4834" max="4834" width="13" style="1" customWidth="1"/>
    <col min="4835" max="4835" width="18.7109375" style="1" customWidth="1"/>
    <col min="4836" max="4836" width="6" style="1" customWidth="1"/>
    <col min="4837" max="4837" width="15.28515625" style="1" customWidth="1"/>
    <col min="4838" max="4838" width="28" style="1" customWidth="1"/>
    <col min="4839" max="4839" width="13.5703125" style="1" customWidth="1"/>
    <col min="4840" max="4840" width="15.5703125" style="1" customWidth="1"/>
    <col min="4841" max="4841" width="8.85546875" style="1" customWidth="1"/>
    <col min="4842" max="4842" width="15.28515625" style="1" customWidth="1"/>
    <col min="4843" max="4843" width="15.7109375" style="1" customWidth="1"/>
    <col min="4844" max="4846" width="17.140625" style="1" customWidth="1"/>
    <col min="4847" max="4847" width="35.7109375" style="1" customWidth="1"/>
    <col min="4848" max="4848" width="28.5703125" style="1" customWidth="1"/>
    <col min="4849" max="4849" width="17.140625" style="1" customWidth="1"/>
    <col min="4850" max="4850" width="28.5703125" style="1" customWidth="1"/>
    <col min="4851" max="5079" width="9.140625" style="1"/>
    <col min="5080" max="5080" width="11.42578125" style="1" customWidth="1"/>
    <col min="5081" max="5081" width="25.140625" style="1" customWidth="1"/>
    <col min="5082" max="5082" width="42.7109375" style="1" customWidth="1"/>
    <col min="5083" max="5083" width="9.28515625" style="1" customWidth="1"/>
    <col min="5084" max="5084" width="13.85546875" style="1" customWidth="1"/>
    <col min="5085" max="5085" width="10.42578125" style="1" customWidth="1"/>
    <col min="5086" max="5086" width="16.7109375" style="1" customWidth="1"/>
    <col min="5087" max="5087" width="16.28515625" style="1" customWidth="1"/>
    <col min="5088" max="5088" width="14.42578125" style="1" customWidth="1"/>
    <col min="5089" max="5089" width="14.85546875" style="1" customWidth="1"/>
    <col min="5090" max="5090" width="13" style="1" customWidth="1"/>
    <col min="5091" max="5091" width="18.7109375" style="1" customWidth="1"/>
    <col min="5092" max="5092" width="6" style="1" customWidth="1"/>
    <col min="5093" max="5093" width="15.28515625" style="1" customWidth="1"/>
    <col min="5094" max="5094" width="28" style="1" customWidth="1"/>
    <col min="5095" max="5095" width="13.5703125" style="1" customWidth="1"/>
    <col min="5096" max="5096" width="15.5703125" style="1" customWidth="1"/>
    <col min="5097" max="5097" width="8.85546875" style="1" customWidth="1"/>
    <col min="5098" max="5098" width="15.28515625" style="1" customWidth="1"/>
    <col min="5099" max="5099" width="15.7109375" style="1" customWidth="1"/>
    <col min="5100" max="5102" width="17.140625" style="1" customWidth="1"/>
    <col min="5103" max="5103" width="35.7109375" style="1" customWidth="1"/>
    <col min="5104" max="5104" width="28.5703125" style="1" customWidth="1"/>
    <col min="5105" max="5105" width="17.140625" style="1" customWidth="1"/>
    <col min="5106" max="5106" width="28.5703125" style="1" customWidth="1"/>
    <col min="5107" max="5335" width="9.140625" style="1"/>
    <col min="5336" max="5336" width="11.42578125" style="1" customWidth="1"/>
    <col min="5337" max="5337" width="25.140625" style="1" customWidth="1"/>
    <col min="5338" max="5338" width="42.7109375" style="1" customWidth="1"/>
    <col min="5339" max="5339" width="9.28515625" style="1" customWidth="1"/>
    <col min="5340" max="5340" width="13.85546875" style="1" customWidth="1"/>
    <col min="5341" max="5341" width="10.42578125" style="1" customWidth="1"/>
    <col min="5342" max="5342" width="16.7109375" style="1" customWidth="1"/>
    <col min="5343" max="5343" width="16.28515625" style="1" customWidth="1"/>
    <col min="5344" max="5344" width="14.42578125" style="1" customWidth="1"/>
    <col min="5345" max="5345" width="14.85546875" style="1" customWidth="1"/>
    <col min="5346" max="5346" width="13" style="1" customWidth="1"/>
    <col min="5347" max="5347" width="18.7109375" style="1" customWidth="1"/>
    <col min="5348" max="5348" width="6" style="1" customWidth="1"/>
    <col min="5349" max="5349" width="15.28515625" style="1" customWidth="1"/>
    <col min="5350" max="5350" width="28" style="1" customWidth="1"/>
    <col min="5351" max="5351" width="13.5703125" style="1" customWidth="1"/>
    <col min="5352" max="5352" width="15.5703125" style="1" customWidth="1"/>
    <col min="5353" max="5353" width="8.85546875" style="1" customWidth="1"/>
    <col min="5354" max="5354" width="15.28515625" style="1" customWidth="1"/>
    <col min="5355" max="5355" width="15.7109375" style="1" customWidth="1"/>
    <col min="5356" max="5358" width="17.140625" style="1" customWidth="1"/>
    <col min="5359" max="5359" width="35.7109375" style="1" customWidth="1"/>
    <col min="5360" max="5360" width="28.5703125" style="1" customWidth="1"/>
    <col min="5361" max="5361" width="17.140625" style="1" customWidth="1"/>
    <col min="5362" max="5362" width="28.5703125" style="1" customWidth="1"/>
    <col min="5363" max="5591" width="9.140625" style="1"/>
    <col min="5592" max="5592" width="11.42578125" style="1" customWidth="1"/>
    <col min="5593" max="5593" width="25.140625" style="1" customWidth="1"/>
    <col min="5594" max="5594" width="42.7109375" style="1" customWidth="1"/>
    <col min="5595" max="5595" width="9.28515625" style="1" customWidth="1"/>
    <col min="5596" max="5596" width="13.85546875" style="1" customWidth="1"/>
    <col min="5597" max="5597" width="10.42578125" style="1" customWidth="1"/>
    <col min="5598" max="5598" width="16.7109375" style="1" customWidth="1"/>
    <col min="5599" max="5599" width="16.28515625" style="1" customWidth="1"/>
    <col min="5600" max="5600" width="14.42578125" style="1" customWidth="1"/>
    <col min="5601" max="5601" width="14.85546875" style="1" customWidth="1"/>
    <col min="5602" max="5602" width="13" style="1" customWidth="1"/>
    <col min="5603" max="5603" width="18.7109375" style="1" customWidth="1"/>
    <col min="5604" max="5604" width="6" style="1" customWidth="1"/>
    <col min="5605" max="5605" width="15.28515625" style="1" customWidth="1"/>
    <col min="5606" max="5606" width="28" style="1" customWidth="1"/>
    <col min="5607" max="5607" width="13.5703125" style="1" customWidth="1"/>
    <col min="5608" max="5608" width="15.5703125" style="1" customWidth="1"/>
    <col min="5609" max="5609" width="8.85546875" style="1" customWidth="1"/>
    <col min="5610" max="5610" width="15.28515625" style="1" customWidth="1"/>
    <col min="5611" max="5611" width="15.7109375" style="1" customWidth="1"/>
    <col min="5612" max="5614" width="17.140625" style="1" customWidth="1"/>
    <col min="5615" max="5615" width="35.7109375" style="1" customWidth="1"/>
    <col min="5616" max="5616" width="28.5703125" style="1" customWidth="1"/>
    <col min="5617" max="5617" width="17.140625" style="1" customWidth="1"/>
    <col min="5618" max="5618" width="28.5703125" style="1" customWidth="1"/>
    <col min="5619" max="5847" width="9.140625" style="1"/>
    <col min="5848" max="5848" width="11.42578125" style="1" customWidth="1"/>
    <col min="5849" max="5849" width="25.140625" style="1" customWidth="1"/>
    <col min="5850" max="5850" width="42.7109375" style="1" customWidth="1"/>
    <col min="5851" max="5851" width="9.28515625" style="1" customWidth="1"/>
    <col min="5852" max="5852" width="13.85546875" style="1" customWidth="1"/>
    <col min="5853" max="5853" width="10.42578125" style="1" customWidth="1"/>
    <col min="5854" max="5854" width="16.7109375" style="1" customWidth="1"/>
    <col min="5855" max="5855" width="16.28515625" style="1" customWidth="1"/>
    <col min="5856" max="5856" width="14.42578125" style="1" customWidth="1"/>
    <col min="5857" max="5857" width="14.85546875" style="1" customWidth="1"/>
    <col min="5858" max="5858" width="13" style="1" customWidth="1"/>
    <col min="5859" max="5859" width="18.7109375" style="1" customWidth="1"/>
    <col min="5860" max="5860" width="6" style="1" customWidth="1"/>
    <col min="5861" max="5861" width="15.28515625" style="1" customWidth="1"/>
    <col min="5862" max="5862" width="28" style="1" customWidth="1"/>
    <col min="5863" max="5863" width="13.5703125" style="1" customWidth="1"/>
    <col min="5864" max="5864" width="15.5703125" style="1" customWidth="1"/>
    <col min="5865" max="5865" width="8.85546875" style="1" customWidth="1"/>
    <col min="5866" max="5866" width="15.28515625" style="1" customWidth="1"/>
    <col min="5867" max="5867" width="15.7109375" style="1" customWidth="1"/>
    <col min="5868" max="5870" width="17.140625" style="1" customWidth="1"/>
    <col min="5871" max="5871" width="35.7109375" style="1" customWidth="1"/>
    <col min="5872" max="5872" width="28.5703125" style="1" customWidth="1"/>
    <col min="5873" max="5873" width="17.140625" style="1" customWidth="1"/>
    <col min="5874" max="5874" width="28.5703125" style="1" customWidth="1"/>
    <col min="5875" max="6103" width="9.140625" style="1"/>
    <col min="6104" max="6104" width="11.42578125" style="1" customWidth="1"/>
    <col min="6105" max="6105" width="25.140625" style="1" customWidth="1"/>
    <col min="6106" max="6106" width="42.7109375" style="1" customWidth="1"/>
    <col min="6107" max="6107" width="9.28515625" style="1" customWidth="1"/>
    <col min="6108" max="6108" width="13.85546875" style="1" customWidth="1"/>
    <col min="6109" max="6109" width="10.42578125" style="1" customWidth="1"/>
    <col min="6110" max="6110" width="16.7109375" style="1" customWidth="1"/>
    <col min="6111" max="6111" width="16.28515625" style="1" customWidth="1"/>
    <col min="6112" max="6112" width="14.42578125" style="1" customWidth="1"/>
    <col min="6113" max="6113" width="14.85546875" style="1" customWidth="1"/>
    <col min="6114" max="6114" width="13" style="1" customWidth="1"/>
    <col min="6115" max="6115" width="18.7109375" style="1" customWidth="1"/>
    <col min="6116" max="6116" width="6" style="1" customWidth="1"/>
    <col min="6117" max="6117" width="15.28515625" style="1" customWidth="1"/>
    <col min="6118" max="6118" width="28" style="1" customWidth="1"/>
    <col min="6119" max="6119" width="13.5703125" style="1" customWidth="1"/>
    <col min="6120" max="6120" width="15.5703125" style="1" customWidth="1"/>
    <col min="6121" max="6121" width="8.85546875" style="1" customWidth="1"/>
    <col min="6122" max="6122" width="15.28515625" style="1" customWidth="1"/>
    <col min="6123" max="6123" width="15.7109375" style="1" customWidth="1"/>
    <col min="6124" max="6126" width="17.140625" style="1" customWidth="1"/>
    <col min="6127" max="6127" width="35.7109375" style="1" customWidth="1"/>
    <col min="6128" max="6128" width="28.5703125" style="1" customWidth="1"/>
    <col min="6129" max="6129" width="17.140625" style="1" customWidth="1"/>
    <col min="6130" max="6130" width="28.5703125" style="1" customWidth="1"/>
    <col min="6131" max="6359" width="9.140625" style="1"/>
    <col min="6360" max="6360" width="11.42578125" style="1" customWidth="1"/>
    <col min="6361" max="6361" width="25.140625" style="1" customWidth="1"/>
    <col min="6362" max="6362" width="42.7109375" style="1" customWidth="1"/>
    <col min="6363" max="6363" width="9.28515625" style="1" customWidth="1"/>
    <col min="6364" max="6364" width="13.85546875" style="1" customWidth="1"/>
    <col min="6365" max="6365" width="10.42578125" style="1" customWidth="1"/>
    <col min="6366" max="6366" width="16.7109375" style="1" customWidth="1"/>
    <col min="6367" max="6367" width="16.28515625" style="1" customWidth="1"/>
    <col min="6368" max="6368" width="14.42578125" style="1" customWidth="1"/>
    <col min="6369" max="6369" width="14.85546875" style="1" customWidth="1"/>
    <col min="6370" max="6370" width="13" style="1" customWidth="1"/>
    <col min="6371" max="6371" width="18.7109375" style="1" customWidth="1"/>
    <col min="6372" max="6372" width="6" style="1" customWidth="1"/>
    <col min="6373" max="6373" width="15.28515625" style="1" customWidth="1"/>
    <col min="6374" max="6374" width="28" style="1" customWidth="1"/>
    <col min="6375" max="6375" width="13.5703125" style="1" customWidth="1"/>
    <col min="6376" max="6376" width="15.5703125" style="1" customWidth="1"/>
    <col min="6377" max="6377" width="8.85546875" style="1" customWidth="1"/>
    <col min="6378" max="6378" width="15.28515625" style="1" customWidth="1"/>
    <col min="6379" max="6379" width="15.7109375" style="1" customWidth="1"/>
    <col min="6380" max="6382" width="17.140625" style="1" customWidth="1"/>
    <col min="6383" max="6383" width="35.7109375" style="1" customWidth="1"/>
    <col min="6384" max="6384" width="28.5703125" style="1" customWidth="1"/>
    <col min="6385" max="6385" width="17.140625" style="1" customWidth="1"/>
    <col min="6386" max="6386" width="28.5703125" style="1" customWidth="1"/>
    <col min="6387" max="6615" width="9.140625" style="1"/>
    <col min="6616" max="6616" width="11.42578125" style="1" customWidth="1"/>
    <col min="6617" max="6617" width="25.140625" style="1" customWidth="1"/>
    <col min="6618" max="6618" width="42.7109375" style="1" customWidth="1"/>
    <col min="6619" max="6619" width="9.28515625" style="1" customWidth="1"/>
    <col min="6620" max="6620" width="13.85546875" style="1" customWidth="1"/>
    <col min="6621" max="6621" width="10.42578125" style="1" customWidth="1"/>
    <col min="6622" max="6622" width="16.7109375" style="1" customWidth="1"/>
    <col min="6623" max="6623" width="16.28515625" style="1" customWidth="1"/>
    <col min="6624" max="6624" width="14.42578125" style="1" customWidth="1"/>
    <col min="6625" max="6625" width="14.85546875" style="1" customWidth="1"/>
    <col min="6626" max="6626" width="13" style="1" customWidth="1"/>
    <col min="6627" max="6627" width="18.7109375" style="1" customWidth="1"/>
    <col min="6628" max="6628" width="6" style="1" customWidth="1"/>
    <col min="6629" max="6629" width="15.28515625" style="1" customWidth="1"/>
    <col min="6630" max="6630" width="28" style="1" customWidth="1"/>
    <col min="6631" max="6631" width="13.5703125" style="1" customWidth="1"/>
    <col min="6632" max="6632" width="15.5703125" style="1" customWidth="1"/>
    <col min="6633" max="6633" width="8.85546875" style="1" customWidth="1"/>
    <col min="6634" max="6634" width="15.28515625" style="1" customWidth="1"/>
    <col min="6635" max="6635" width="15.7109375" style="1" customWidth="1"/>
    <col min="6636" max="6638" width="17.140625" style="1" customWidth="1"/>
    <col min="6639" max="6639" width="35.7109375" style="1" customWidth="1"/>
    <col min="6640" max="6640" width="28.5703125" style="1" customWidth="1"/>
    <col min="6641" max="6641" width="17.140625" style="1" customWidth="1"/>
    <col min="6642" max="6642" width="28.5703125" style="1" customWidth="1"/>
    <col min="6643" max="6871" width="9.140625" style="1"/>
    <col min="6872" max="6872" width="11.42578125" style="1" customWidth="1"/>
    <col min="6873" max="6873" width="25.140625" style="1" customWidth="1"/>
    <col min="6874" max="6874" width="42.7109375" style="1" customWidth="1"/>
    <col min="6875" max="6875" width="9.28515625" style="1" customWidth="1"/>
    <col min="6876" max="6876" width="13.85546875" style="1" customWidth="1"/>
    <col min="6877" max="6877" width="10.42578125" style="1" customWidth="1"/>
    <col min="6878" max="6878" width="16.7109375" style="1" customWidth="1"/>
    <col min="6879" max="6879" width="16.28515625" style="1" customWidth="1"/>
    <col min="6880" max="6880" width="14.42578125" style="1" customWidth="1"/>
    <col min="6881" max="6881" width="14.85546875" style="1" customWidth="1"/>
    <col min="6882" max="6882" width="13" style="1" customWidth="1"/>
    <col min="6883" max="6883" width="18.7109375" style="1" customWidth="1"/>
    <col min="6884" max="6884" width="6" style="1" customWidth="1"/>
    <col min="6885" max="6885" width="15.28515625" style="1" customWidth="1"/>
    <col min="6886" max="6886" width="28" style="1" customWidth="1"/>
    <col min="6887" max="6887" width="13.5703125" style="1" customWidth="1"/>
    <col min="6888" max="6888" width="15.5703125" style="1" customWidth="1"/>
    <col min="6889" max="6889" width="8.85546875" style="1" customWidth="1"/>
    <col min="6890" max="6890" width="15.28515625" style="1" customWidth="1"/>
    <col min="6891" max="6891" width="15.7109375" style="1" customWidth="1"/>
    <col min="6892" max="6894" width="17.140625" style="1" customWidth="1"/>
    <col min="6895" max="6895" width="35.7109375" style="1" customWidth="1"/>
    <col min="6896" max="6896" width="28.5703125" style="1" customWidth="1"/>
    <col min="6897" max="6897" width="17.140625" style="1" customWidth="1"/>
    <col min="6898" max="6898" width="28.5703125" style="1" customWidth="1"/>
    <col min="6899" max="7127" width="9.140625" style="1"/>
    <col min="7128" max="7128" width="11.42578125" style="1" customWidth="1"/>
    <col min="7129" max="7129" width="25.140625" style="1" customWidth="1"/>
    <col min="7130" max="7130" width="42.7109375" style="1" customWidth="1"/>
    <col min="7131" max="7131" width="9.28515625" style="1" customWidth="1"/>
    <col min="7132" max="7132" width="13.85546875" style="1" customWidth="1"/>
    <col min="7133" max="7133" width="10.42578125" style="1" customWidth="1"/>
    <col min="7134" max="7134" width="16.7109375" style="1" customWidth="1"/>
    <col min="7135" max="7135" width="16.28515625" style="1" customWidth="1"/>
    <col min="7136" max="7136" width="14.42578125" style="1" customWidth="1"/>
    <col min="7137" max="7137" width="14.85546875" style="1" customWidth="1"/>
    <col min="7138" max="7138" width="13" style="1" customWidth="1"/>
    <col min="7139" max="7139" width="18.7109375" style="1" customWidth="1"/>
    <col min="7140" max="7140" width="6" style="1" customWidth="1"/>
    <col min="7141" max="7141" width="15.28515625" style="1" customWidth="1"/>
    <col min="7142" max="7142" width="28" style="1" customWidth="1"/>
    <col min="7143" max="7143" width="13.5703125" style="1" customWidth="1"/>
    <col min="7144" max="7144" width="15.5703125" style="1" customWidth="1"/>
    <col min="7145" max="7145" width="8.85546875" style="1" customWidth="1"/>
    <col min="7146" max="7146" width="15.28515625" style="1" customWidth="1"/>
    <col min="7147" max="7147" width="15.7109375" style="1" customWidth="1"/>
    <col min="7148" max="7150" width="17.140625" style="1" customWidth="1"/>
    <col min="7151" max="7151" width="35.7109375" style="1" customWidth="1"/>
    <col min="7152" max="7152" width="28.5703125" style="1" customWidth="1"/>
    <col min="7153" max="7153" width="17.140625" style="1" customWidth="1"/>
    <col min="7154" max="7154" width="28.5703125" style="1" customWidth="1"/>
    <col min="7155" max="7383" width="9.140625" style="1"/>
    <col min="7384" max="7384" width="11.42578125" style="1" customWidth="1"/>
    <col min="7385" max="7385" width="25.140625" style="1" customWidth="1"/>
    <col min="7386" max="7386" width="42.7109375" style="1" customWidth="1"/>
    <col min="7387" max="7387" width="9.28515625" style="1" customWidth="1"/>
    <col min="7388" max="7388" width="13.85546875" style="1" customWidth="1"/>
    <col min="7389" max="7389" width="10.42578125" style="1" customWidth="1"/>
    <col min="7390" max="7390" width="16.7109375" style="1" customWidth="1"/>
    <col min="7391" max="7391" width="16.28515625" style="1" customWidth="1"/>
    <col min="7392" max="7392" width="14.42578125" style="1" customWidth="1"/>
    <col min="7393" max="7393" width="14.85546875" style="1" customWidth="1"/>
    <col min="7394" max="7394" width="13" style="1" customWidth="1"/>
    <col min="7395" max="7395" width="18.7109375" style="1" customWidth="1"/>
    <col min="7396" max="7396" width="6" style="1" customWidth="1"/>
    <col min="7397" max="7397" width="15.28515625" style="1" customWidth="1"/>
    <col min="7398" max="7398" width="28" style="1" customWidth="1"/>
    <col min="7399" max="7399" width="13.5703125" style="1" customWidth="1"/>
    <col min="7400" max="7400" width="15.5703125" style="1" customWidth="1"/>
    <col min="7401" max="7401" width="8.85546875" style="1" customWidth="1"/>
    <col min="7402" max="7402" width="15.28515625" style="1" customWidth="1"/>
    <col min="7403" max="7403" width="15.7109375" style="1" customWidth="1"/>
    <col min="7404" max="7406" width="17.140625" style="1" customWidth="1"/>
    <col min="7407" max="7407" width="35.7109375" style="1" customWidth="1"/>
    <col min="7408" max="7408" width="28.5703125" style="1" customWidth="1"/>
    <col min="7409" max="7409" width="17.140625" style="1" customWidth="1"/>
    <col min="7410" max="7410" width="28.5703125" style="1" customWidth="1"/>
    <col min="7411" max="7639" width="9.140625" style="1"/>
    <col min="7640" max="7640" width="11.42578125" style="1" customWidth="1"/>
    <col min="7641" max="7641" width="25.140625" style="1" customWidth="1"/>
    <col min="7642" max="7642" width="42.7109375" style="1" customWidth="1"/>
    <col min="7643" max="7643" width="9.28515625" style="1" customWidth="1"/>
    <col min="7644" max="7644" width="13.85546875" style="1" customWidth="1"/>
    <col min="7645" max="7645" width="10.42578125" style="1" customWidth="1"/>
    <col min="7646" max="7646" width="16.7109375" style="1" customWidth="1"/>
    <col min="7647" max="7647" width="16.28515625" style="1" customWidth="1"/>
    <col min="7648" max="7648" width="14.42578125" style="1" customWidth="1"/>
    <col min="7649" max="7649" width="14.85546875" style="1" customWidth="1"/>
    <col min="7650" max="7650" width="13" style="1" customWidth="1"/>
    <col min="7651" max="7651" width="18.7109375" style="1" customWidth="1"/>
    <col min="7652" max="7652" width="6" style="1" customWidth="1"/>
    <col min="7653" max="7653" width="15.28515625" style="1" customWidth="1"/>
    <col min="7654" max="7654" width="28" style="1" customWidth="1"/>
    <col min="7655" max="7655" width="13.5703125" style="1" customWidth="1"/>
    <col min="7656" max="7656" width="15.5703125" style="1" customWidth="1"/>
    <col min="7657" max="7657" width="8.85546875" style="1" customWidth="1"/>
    <col min="7658" max="7658" width="15.28515625" style="1" customWidth="1"/>
    <col min="7659" max="7659" width="15.7109375" style="1" customWidth="1"/>
    <col min="7660" max="7662" width="17.140625" style="1" customWidth="1"/>
    <col min="7663" max="7663" width="35.7109375" style="1" customWidth="1"/>
    <col min="7664" max="7664" width="28.5703125" style="1" customWidth="1"/>
    <col min="7665" max="7665" width="17.140625" style="1" customWidth="1"/>
    <col min="7666" max="7666" width="28.5703125" style="1" customWidth="1"/>
    <col min="7667" max="7895" width="9.140625" style="1"/>
    <col min="7896" max="7896" width="11.42578125" style="1" customWidth="1"/>
    <col min="7897" max="7897" width="25.140625" style="1" customWidth="1"/>
    <col min="7898" max="7898" width="42.7109375" style="1" customWidth="1"/>
    <col min="7899" max="7899" width="9.28515625" style="1" customWidth="1"/>
    <col min="7900" max="7900" width="13.85546875" style="1" customWidth="1"/>
    <col min="7901" max="7901" width="10.42578125" style="1" customWidth="1"/>
    <col min="7902" max="7902" width="16.7109375" style="1" customWidth="1"/>
    <col min="7903" max="7903" width="16.28515625" style="1" customWidth="1"/>
    <col min="7904" max="7904" width="14.42578125" style="1" customWidth="1"/>
    <col min="7905" max="7905" width="14.85546875" style="1" customWidth="1"/>
    <col min="7906" max="7906" width="13" style="1" customWidth="1"/>
    <col min="7907" max="7907" width="18.7109375" style="1" customWidth="1"/>
    <col min="7908" max="7908" width="6" style="1" customWidth="1"/>
    <col min="7909" max="7909" width="15.28515625" style="1" customWidth="1"/>
    <col min="7910" max="7910" width="28" style="1" customWidth="1"/>
    <col min="7911" max="7911" width="13.5703125" style="1" customWidth="1"/>
    <col min="7912" max="7912" width="15.5703125" style="1" customWidth="1"/>
    <col min="7913" max="7913" width="8.85546875" style="1" customWidth="1"/>
    <col min="7914" max="7914" width="15.28515625" style="1" customWidth="1"/>
    <col min="7915" max="7915" width="15.7109375" style="1" customWidth="1"/>
    <col min="7916" max="7918" width="17.140625" style="1" customWidth="1"/>
    <col min="7919" max="7919" width="35.7109375" style="1" customWidth="1"/>
    <col min="7920" max="7920" width="28.5703125" style="1" customWidth="1"/>
    <col min="7921" max="7921" width="17.140625" style="1" customWidth="1"/>
    <col min="7922" max="7922" width="28.5703125" style="1" customWidth="1"/>
    <col min="7923" max="8151" width="9.140625" style="1"/>
    <col min="8152" max="8152" width="11.42578125" style="1" customWidth="1"/>
    <col min="8153" max="8153" width="25.140625" style="1" customWidth="1"/>
    <col min="8154" max="8154" width="42.7109375" style="1" customWidth="1"/>
    <col min="8155" max="8155" width="9.28515625" style="1" customWidth="1"/>
    <col min="8156" max="8156" width="13.85546875" style="1" customWidth="1"/>
    <col min="8157" max="8157" width="10.42578125" style="1" customWidth="1"/>
    <col min="8158" max="8158" width="16.7109375" style="1" customWidth="1"/>
    <col min="8159" max="8159" width="16.28515625" style="1" customWidth="1"/>
    <col min="8160" max="8160" width="14.42578125" style="1" customWidth="1"/>
    <col min="8161" max="8161" width="14.85546875" style="1" customWidth="1"/>
    <col min="8162" max="8162" width="13" style="1" customWidth="1"/>
    <col min="8163" max="8163" width="18.7109375" style="1" customWidth="1"/>
    <col min="8164" max="8164" width="6" style="1" customWidth="1"/>
    <col min="8165" max="8165" width="15.28515625" style="1" customWidth="1"/>
    <col min="8166" max="8166" width="28" style="1" customWidth="1"/>
    <col min="8167" max="8167" width="13.5703125" style="1" customWidth="1"/>
    <col min="8168" max="8168" width="15.5703125" style="1" customWidth="1"/>
    <col min="8169" max="8169" width="8.85546875" style="1" customWidth="1"/>
    <col min="8170" max="8170" width="15.28515625" style="1" customWidth="1"/>
    <col min="8171" max="8171" width="15.7109375" style="1" customWidth="1"/>
    <col min="8172" max="8174" width="17.140625" style="1" customWidth="1"/>
    <col min="8175" max="8175" width="35.7109375" style="1" customWidth="1"/>
    <col min="8176" max="8176" width="28.5703125" style="1" customWidth="1"/>
    <col min="8177" max="8177" width="17.140625" style="1" customWidth="1"/>
    <col min="8178" max="8178" width="28.5703125" style="1" customWidth="1"/>
    <col min="8179" max="8407" width="9.140625" style="1"/>
    <col min="8408" max="8408" width="11.42578125" style="1" customWidth="1"/>
    <col min="8409" max="8409" width="25.140625" style="1" customWidth="1"/>
    <col min="8410" max="8410" width="42.7109375" style="1" customWidth="1"/>
    <col min="8411" max="8411" width="9.28515625" style="1" customWidth="1"/>
    <col min="8412" max="8412" width="13.85546875" style="1" customWidth="1"/>
    <col min="8413" max="8413" width="10.42578125" style="1" customWidth="1"/>
    <col min="8414" max="8414" width="16.7109375" style="1" customWidth="1"/>
    <col min="8415" max="8415" width="16.28515625" style="1" customWidth="1"/>
    <col min="8416" max="8416" width="14.42578125" style="1" customWidth="1"/>
    <col min="8417" max="8417" width="14.85546875" style="1" customWidth="1"/>
    <col min="8418" max="8418" width="13" style="1" customWidth="1"/>
    <col min="8419" max="8419" width="18.7109375" style="1" customWidth="1"/>
    <col min="8420" max="8420" width="6" style="1" customWidth="1"/>
    <col min="8421" max="8421" width="15.28515625" style="1" customWidth="1"/>
    <col min="8422" max="8422" width="28" style="1" customWidth="1"/>
    <col min="8423" max="8423" width="13.5703125" style="1" customWidth="1"/>
    <col min="8424" max="8424" width="15.5703125" style="1" customWidth="1"/>
    <col min="8425" max="8425" width="8.85546875" style="1" customWidth="1"/>
    <col min="8426" max="8426" width="15.28515625" style="1" customWidth="1"/>
    <col min="8427" max="8427" width="15.7109375" style="1" customWidth="1"/>
    <col min="8428" max="8430" width="17.140625" style="1" customWidth="1"/>
    <col min="8431" max="8431" width="35.7109375" style="1" customWidth="1"/>
    <col min="8432" max="8432" width="28.5703125" style="1" customWidth="1"/>
    <col min="8433" max="8433" width="17.140625" style="1" customWidth="1"/>
    <col min="8434" max="8434" width="28.5703125" style="1" customWidth="1"/>
    <col min="8435" max="8663" width="9.140625" style="1"/>
    <col min="8664" max="8664" width="11.42578125" style="1" customWidth="1"/>
    <col min="8665" max="8665" width="25.140625" style="1" customWidth="1"/>
    <col min="8666" max="8666" width="42.7109375" style="1" customWidth="1"/>
    <col min="8667" max="8667" width="9.28515625" style="1" customWidth="1"/>
    <col min="8668" max="8668" width="13.85546875" style="1" customWidth="1"/>
    <col min="8669" max="8669" width="10.42578125" style="1" customWidth="1"/>
    <col min="8670" max="8670" width="16.7109375" style="1" customWidth="1"/>
    <col min="8671" max="8671" width="16.28515625" style="1" customWidth="1"/>
    <col min="8672" max="8672" width="14.42578125" style="1" customWidth="1"/>
    <col min="8673" max="8673" width="14.85546875" style="1" customWidth="1"/>
    <col min="8674" max="8674" width="13" style="1" customWidth="1"/>
    <col min="8675" max="8675" width="18.7109375" style="1" customWidth="1"/>
    <col min="8676" max="8676" width="6" style="1" customWidth="1"/>
    <col min="8677" max="8677" width="15.28515625" style="1" customWidth="1"/>
    <col min="8678" max="8678" width="28" style="1" customWidth="1"/>
    <col min="8679" max="8679" width="13.5703125" style="1" customWidth="1"/>
    <col min="8680" max="8680" width="15.5703125" style="1" customWidth="1"/>
    <col min="8681" max="8681" width="8.85546875" style="1" customWidth="1"/>
    <col min="8682" max="8682" width="15.28515625" style="1" customWidth="1"/>
    <col min="8683" max="8683" width="15.7109375" style="1" customWidth="1"/>
    <col min="8684" max="8686" width="17.140625" style="1" customWidth="1"/>
    <col min="8687" max="8687" width="35.7109375" style="1" customWidth="1"/>
    <col min="8688" max="8688" width="28.5703125" style="1" customWidth="1"/>
    <col min="8689" max="8689" width="17.140625" style="1" customWidth="1"/>
    <col min="8690" max="8690" width="28.5703125" style="1" customWidth="1"/>
    <col min="8691" max="8919" width="9.140625" style="1"/>
    <col min="8920" max="8920" width="11.42578125" style="1" customWidth="1"/>
    <col min="8921" max="8921" width="25.140625" style="1" customWidth="1"/>
    <col min="8922" max="8922" width="42.7109375" style="1" customWidth="1"/>
    <col min="8923" max="8923" width="9.28515625" style="1" customWidth="1"/>
    <col min="8924" max="8924" width="13.85546875" style="1" customWidth="1"/>
    <col min="8925" max="8925" width="10.42578125" style="1" customWidth="1"/>
    <col min="8926" max="8926" width="16.7109375" style="1" customWidth="1"/>
    <col min="8927" max="8927" width="16.28515625" style="1" customWidth="1"/>
    <col min="8928" max="8928" width="14.42578125" style="1" customWidth="1"/>
    <col min="8929" max="8929" width="14.85546875" style="1" customWidth="1"/>
    <col min="8930" max="8930" width="13" style="1" customWidth="1"/>
    <col min="8931" max="8931" width="18.7109375" style="1" customWidth="1"/>
    <col min="8932" max="8932" width="6" style="1" customWidth="1"/>
    <col min="8933" max="8933" width="15.28515625" style="1" customWidth="1"/>
    <col min="8934" max="8934" width="28" style="1" customWidth="1"/>
    <col min="8935" max="8935" width="13.5703125" style="1" customWidth="1"/>
    <col min="8936" max="8936" width="15.5703125" style="1" customWidth="1"/>
    <col min="8937" max="8937" width="8.85546875" style="1" customWidth="1"/>
    <col min="8938" max="8938" width="15.28515625" style="1" customWidth="1"/>
    <col min="8939" max="8939" width="15.7109375" style="1" customWidth="1"/>
    <col min="8940" max="8942" width="17.140625" style="1" customWidth="1"/>
    <col min="8943" max="8943" width="35.7109375" style="1" customWidth="1"/>
    <col min="8944" max="8944" width="28.5703125" style="1" customWidth="1"/>
    <col min="8945" max="8945" width="17.140625" style="1" customWidth="1"/>
    <col min="8946" max="8946" width="28.5703125" style="1" customWidth="1"/>
    <col min="8947" max="9175" width="9.140625" style="1"/>
    <col min="9176" max="9176" width="11.42578125" style="1" customWidth="1"/>
    <col min="9177" max="9177" width="25.140625" style="1" customWidth="1"/>
    <col min="9178" max="9178" width="42.7109375" style="1" customWidth="1"/>
    <col min="9179" max="9179" width="9.28515625" style="1" customWidth="1"/>
    <col min="9180" max="9180" width="13.85546875" style="1" customWidth="1"/>
    <col min="9181" max="9181" width="10.42578125" style="1" customWidth="1"/>
    <col min="9182" max="9182" width="16.7109375" style="1" customWidth="1"/>
    <col min="9183" max="9183" width="16.28515625" style="1" customWidth="1"/>
    <col min="9184" max="9184" width="14.42578125" style="1" customWidth="1"/>
    <col min="9185" max="9185" width="14.85546875" style="1" customWidth="1"/>
    <col min="9186" max="9186" width="13" style="1" customWidth="1"/>
    <col min="9187" max="9187" width="18.7109375" style="1" customWidth="1"/>
    <col min="9188" max="9188" width="6" style="1" customWidth="1"/>
    <col min="9189" max="9189" width="15.28515625" style="1" customWidth="1"/>
    <col min="9190" max="9190" width="28" style="1" customWidth="1"/>
    <col min="9191" max="9191" width="13.5703125" style="1" customWidth="1"/>
    <col min="9192" max="9192" width="15.5703125" style="1" customWidth="1"/>
    <col min="9193" max="9193" width="8.85546875" style="1" customWidth="1"/>
    <col min="9194" max="9194" width="15.28515625" style="1" customWidth="1"/>
    <col min="9195" max="9195" width="15.7109375" style="1" customWidth="1"/>
    <col min="9196" max="9198" width="17.140625" style="1" customWidth="1"/>
    <col min="9199" max="9199" width="35.7109375" style="1" customWidth="1"/>
    <col min="9200" max="9200" width="28.5703125" style="1" customWidth="1"/>
    <col min="9201" max="9201" width="17.140625" style="1" customWidth="1"/>
    <col min="9202" max="9202" width="28.5703125" style="1" customWidth="1"/>
    <col min="9203" max="9431" width="9.140625" style="1"/>
    <col min="9432" max="9432" width="11.42578125" style="1" customWidth="1"/>
    <col min="9433" max="9433" width="25.140625" style="1" customWidth="1"/>
    <col min="9434" max="9434" width="42.7109375" style="1" customWidth="1"/>
    <col min="9435" max="9435" width="9.28515625" style="1" customWidth="1"/>
    <col min="9436" max="9436" width="13.85546875" style="1" customWidth="1"/>
    <col min="9437" max="9437" width="10.42578125" style="1" customWidth="1"/>
    <col min="9438" max="9438" width="16.7109375" style="1" customWidth="1"/>
    <col min="9439" max="9439" width="16.28515625" style="1" customWidth="1"/>
    <col min="9440" max="9440" width="14.42578125" style="1" customWidth="1"/>
    <col min="9441" max="9441" width="14.85546875" style="1" customWidth="1"/>
    <col min="9442" max="9442" width="13" style="1" customWidth="1"/>
    <col min="9443" max="9443" width="18.7109375" style="1" customWidth="1"/>
    <col min="9444" max="9444" width="6" style="1" customWidth="1"/>
    <col min="9445" max="9445" width="15.28515625" style="1" customWidth="1"/>
    <col min="9446" max="9446" width="28" style="1" customWidth="1"/>
    <col min="9447" max="9447" width="13.5703125" style="1" customWidth="1"/>
    <col min="9448" max="9448" width="15.5703125" style="1" customWidth="1"/>
    <col min="9449" max="9449" width="8.85546875" style="1" customWidth="1"/>
    <col min="9450" max="9450" width="15.28515625" style="1" customWidth="1"/>
    <col min="9451" max="9451" width="15.7109375" style="1" customWidth="1"/>
    <col min="9452" max="9454" width="17.140625" style="1" customWidth="1"/>
    <col min="9455" max="9455" width="35.7109375" style="1" customWidth="1"/>
    <col min="9456" max="9456" width="28.5703125" style="1" customWidth="1"/>
    <col min="9457" max="9457" width="17.140625" style="1" customWidth="1"/>
    <col min="9458" max="9458" width="28.5703125" style="1" customWidth="1"/>
    <col min="9459" max="9687" width="9.140625" style="1"/>
    <col min="9688" max="9688" width="11.42578125" style="1" customWidth="1"/>
    <col min="9689" max="9689" width="25.140625" style="1" customWidth="1"/>
    <col min="9690" max="9690" width="42.7109375" style="1" customWidth="1"/>
    <col min="9691" max="9691" width="9.28515625" style="1" customWidth="1"/>
    <col min="9692" max="9692" width="13.85546875" style="1" customWidth="1"/>
    <col min="9693" max="9693" width="10.42578125" style="1" customWidth="1"/>
    <col min="9694" max="9694" width="16.7109375" style="1" customWidth="1"/>
    <col min="9695" max="9695" width="16.28515625" style="1" customWidth="1"/>
    <col min="9696" max="9696" width="14.42578125" style="1" customWidth="1"/>
    <col min="9697" max="9697" width="14.85546875" style="1" customWidth="1"/>
    <col min="9698" max="9698" width="13" style="1" customWidth="1"/>
    <col min="9699" max="9699" width="18.7109375" style="1" customWidth="1"/>
    <col min="9700" max="9700" width="6" style="1" customWidth="1"/>
    <col min="9701" max="9701" width="15.28515625" style="1" customWidth="1"/>
    <col min="9702" max="9702" width="28" style="1" customWidth="1"/>
    <col min="9703" max="9703" width="13.5703125" style="1" customWidth="1"/>
    <col min="9704" max="9704" width="15.5703125" style="1" customWidth="1"/>
    <col min="9705" max="9705" width="8.85546875" style="1" customWidth="1"/>
    <col min="9706" max="9706" width="15.28515625" style="1" customWidth="1"/>
    <col min="9707" max="9707" width="15.7109375" style="1" customWidth="1"/>
    <col min="9708" max="9710" width="17.140625" style="1" customWidth="1"/>
    <col min="9711" max="9711" width="35.7109375" style="1" customWidth="1"/>
    <col min="9712" max="9712" width="28.5703125" style="1" customWidth="1"/>
    <col min="9713" max="9713" width="17.140625" style="1" customWidth="1"/>
    <col min="9714" max="9714" width="28.5703125" style="1" customWidth="1"/>
    <col min="9715" max="9943" width="9.140625" style="1"/>
    <col min="9944" max="9944" width="11.42578125" style="1" customWidth="1"/>
    <col min="9945" max="9945" width="25.140625" style="1" customWidth="1"/>
    <col min="9946" max="9946" width="42.7109375" style="1" customWidth="1"/>
    <col min="9947" max="9947" width="9.28515625" style="1" customWidth="1"/>
    <col min="9948" max="9948" width="13.85546875" style="1" customWidth="1"/>
    <col min="9949" max="9949" width="10.42578125" style="1" customWidth="1"/>
    <col min="9950" max="9950" width="16.7109375" style="1" customWidth="1"/>
    <col min="9951" max="9951" width="16.28515625" style="1" customWidth="1"/>
    <col min="9952" max="9952" width="14.42578125" style="1" customWidth="1"/>
    <col min="9953" max="9953" width="14.85546875" style="1" customWidth="1"/>
    <col min="9954" max="9954" width="13" style="1" customWidth="1"/>
    <col min="9955" max="9955" width="18.7109375" style="1" customWidth="1"/>
    <col min="9956" max="9956" width="6" style="1" customWidth="1"/>
    <col min="9957" max="9957" width="15.28515625" style="1" customWidth="1"/>
    <col min="9958" max="9958" width="28" style="1" customWidth="1"/>
    <col min="9959" max="9959" width="13.5703125" style="1" customWidth="1"/>
    <col min="9960" max="9960" width="15.5703125" style="1" customWidth="1"/>
    <col min="9961" max="9961" width="8.85546875" style="1" customWidth="1"/>
    <col min="9962" max="9962" width="15.28515625" style="1" customWidth="1"/>
    <col min="9963" max="9963" width="15.7109375" style="1" customWidth="1"/>
    <col min="9964" max="9966" width="17.140625" style="1" customWidth="1"/>
    <col min="9967" max="9967" width="35.7109375" style="1" customWidth="1"/>
    <col min="9968" max="9968" width="28.5703125" style="1" customWidth="1"/>
    <col min="9969" max="9969" width="17.140625" style="1" customWidth="1"/>
    <col min="9970" max="9970" width="28.5703125" style="1" customWidth="1"/>
    <col min="9971" max="10199" width="9.140625" style="1"/>
    <col min="10200" max="10200" width="11.42578125" style="1" customWidth="1"/>
    <col min="10201" max="10201" width="25.140625" style="1" customWidth="1"/>
    <col min="10202" max="10202" width="42.7109375" style="1" customWidth="1"/>
    <col min="10203" max="10203" width="9.28515625" style="1" customWidth="1"/>
    <col min="10204" max="10204" width="13.85546875" style="1" customWidth="1"/>
    <col min="10205" max="10205" width="10.42578125" style="1" customWidth="1"/>
    <col min="10206" max="10206" width="16.7109375" style="1" customWidth="1"/>
    <col min="10207" max="10207" width="16.28515625" style="1" customWidth="1"/>
    <col min="10208" max="10208" width="14.42578125" style="1" customWidth="1"/>
    <col min="10209" max="10209" width="14.85546875" style="1" customWidth="1"/>
    <col min="10210" max="10210" width="13" style="1" customWidth="1"/>
    <col min="10211" max="10211" width="18.7109375" style="1" customWidth="1"/>
    <col min="10212" max="10212" width="6" style="1" customWidth="1"/>
    <col min="10213" max="10213" width="15.28515625" style="1" customWidth="1"/>
    <col min="10214" max="10214" width="28" style="1" customWidth="1"/>
    <col min="10215" max="10215" width="13.5703125" style="1" customWidth="1"/>
    <col min="10216" max="10216" width="15.5703125" style="1" customWidth="1"/>
    <col min="10217" max="10217" width="8.85546875" style="1" customWidth="1"/>
    <col min="10218" max="10218" width="15.28515625" style="1" customWidth="1"/>
    <col min="10219" max="10219" width="15.7109375" style="1" customWidth="1"/>
    <col min="10220" max="10222" width="17.140625" style="1" customWidth="1"/>
    <col min="10223" max="10223" width="35.7109375" style="1" customWidth="1"/>
    <col min="10224" max="10224" width="28.5703125" style="1" customWidth="1"/>
    <col min="10225" max="10225" width="17.140625" style="1" customWidth="1"/>
    <col min="10226" max="10226" width="28.5703125" style="1" customWidth="1"/>
    <col min="10227" max="10455" width="9.140625" style="1"/>
    <col min="10456" max="10456" width="11.42578125" style="1" customWidth="1"/>
    <col min="10457" max="10457" width="25.140625" style="1" customWidth="1"/>
    <col min="10458" max="10458" width="42.7109375" style="1" customWidth="1"/>
    <col min="10459" max="10459" width="9.28515625" style="1" customWidth="1"/>
    <col min="10460" max="10460" width="13.85546875" style="1" customWidth="1"/>
    <col min="10461" max="10461" width="10.42578125" style="1" customWidth="1"/>
    <col min="10462" max="10462" width="16.7109375" style="1" customWidth="1"/>
    <col min="10463" max="10463" width="16.28515625" style="1" customWidth="1"/>
    <col min="10464" max="10464" width="14.42578125" style="1" customWidth="1"/>
    <col min="10465" max="10465" width="14.85546875" style="1" customWidth="1"/>
    <col min="10466" max="10466" width="13" style="1" customWidth="1"/>
    <col min="10467" max="10467" width="18.7109375" style="1" customWidth="1"/>
    <col min="10468" max="10468" width="6" style="1" customWidth="1"/>
    <col min="10469" max="10469" width="15.28515625" style="1" customWidth="1"/>
    <col min="10470" max="10470" width="28" style="1" customWidth="1"/>
    <col min="10471" max="10471" width="13.5703125" style="1" customWidth="1"/>
    <col min="10472" max="10472" width="15.5703125" style="1" customWidth="1"/>
    <col min="10473" max="10473" width="8.85546875" style="1" customWidth="1"/>
    <col min="10474" max="10474" width="15.28515625" style="1" customWidth="1"/>
    <col min="10475" max="10475" width="15.7109375" style="1" customWidth="1"/>
    <col min="10476" max="10478" width="17.140625" style="1" customWidth="1"/>
    <col min="10479" max="10479" width="35.7109375" style="1" customWidth="1"/>
    <col min="10480" max="10480" width="28.5703125" style="1" customWidth="1"/>
    <col min="10481" max="10481" width="17.140625" style="1" customWidth="1"/>
    <col min="10482" max="10482" width="28.5703125" style="1" customWidth="1"/>
    <col min="10483" max="10711" width="9.140625" style="1"/>
    <col min="10712" max="10712" width="11.42578125" style="1" customWidth="1"/>
    <col min="10713" max="10713" width="25.140625" style="1" customWidth="1"/>
    <col min="10714" max="10714" width="42.7109375" style="1" customWidth="1"/>
    <col min="10715" max="10715" width="9.28515625" style="1" customWidth="1"/>
    <col min="10716" max="10716" width="13.85546875" style="1" customWidth="1"/>
    <col min="10717" max="10717" width="10.42578125" style="1" customWidth="1"/>
    <col min="10718" max="10718" width="16.7109375" style="1" customWidth="1"/>
    <col min="10719" max="10719" width="16.28515625" style="1" customWidth="1"/>
    <col min="10720" max="10720" width="14.42578125" style="1" customWidth="1"/>
    <col min="10721" max="10721" width="14.85546875" style="1" customWidth="1"/>
    <col min="10722" max="10722" width="13" style="1" customWidth="1"/>
    <col min="10723" max="10723" width="18.7109375" style="1" customWidth="1"/>
    <col min="10724" max="10724" width="6" style="1" customWidth="1"/>
    <col min="10725" max="10725" width="15.28515625" style="1" customWidth="1"/>
    <col min="10726" max="10726" width="28" style="1" customWidth="1"/>
    <col min="10727" max="10727" width="13.5703125" style="1" customWidth="1"/>
    <col min="10728" max="10728" width="15.5703125" style="1" customWidth="1"/>
    <col min="10729" max="10729" width="8.85546875" style="1" customWidth="1"/>
    <col min="10730" max="10730" width="15.28515625" style="1" customWidth="1"/>
    <col min="10731" max="10731" width="15.7109375" style="1" customWidth="1"/>
    <col min="10732" max="10734" width="17.140625" style="1" customWidth="1"/>
    <col min="10735" max="10735" width="35.7109375" style="1" customWidth="1"/>
    <col min="10736" max="10736" width="28.5703125" style="1" customWidth="1"/>
    <col min="10737" max="10737" width="17.140625" style="1" customWidth="1"/>
    <col min="10738" max="10738" width="28.5703125" style="1" customWidth="1"/>
    <col min="10739" max="10967" width="9.140625" style="1"/>
    <col min="10968" max="10968" width="11.42578125" style="1" customWidth="1"/>
    <col min="10969" max="10969" width="25.140625" style="1" customWidth="1"/>
    <col min="10970" max="10970" width="42.7109375" style="1" customWidth="1"/>
    <col min="10971" max="10971" width="9.28515625" style="1" customWidth="1"/>
    <col min="10972" max="10972" width="13.85546875" style="1" customWidth="1"/>
    <col min="10973" max="10973" width="10.42578125" style="1" customWidth="1"/>
    <col min="10974" max="10974" width="16.7109375" style="1" customWidth="1"/>
    <col min="10975" max="10975" width="16.28515625" style="1" customWidth="1"/>
    <col min="10976" max="10976" width="14.42578125" style="1" customWidth="1"/>
    <col min="10977" max="10977" width="14.85546875" style="1" customWidth="1"/>
    <col min="10978" max="10978" width="13" style="1" customWidth="1"/>
    <col min="10979" max="10979" width="18.7109375" style="1" customWidth="1"/>
    <col min="10980" max="10980" width="6" style="1" customWidth="1"/>
    <col min="10981" max="10981" width="15.28515625" style="1" customWidth="1"/>
    <col min="10982" max="10982" width="28" style="1" customWidth="1"/>
    <col min="10983" max="10983" width="13.5703125" style="1" customWidth="1"/>
    <col min="10984" max="10984" width="15.5703125" style="1" customWidth="1"/>
    <col min="10985" max="10985" width="8.85546875" style="1" customWidth="1"/>
    <col min="10986" max="10986" width="15.28515625" style="1" customWidth="1"/>
    <col min="10987" max="10987" width="15.7109375" style="1" customWidth="1"/>
    <col min="10988" max="10990" width="17.140625" style="1" customWidth="1"/>
    <col min="10991" max="10991" width="35.7109375" style="1" customWidth="1"/>
    <col min="10992" max="10992" width="28.5703125" style="1" customWidth="1"/>
    <col min="10993" max="10993" width="17.140625" style="1" customWidth="1"/>
    <col min="10994" max="10994" width="28.5703125" style="1" customWidth="1"/>
    <col min="10995" max="11223" width="9.140625" style="1"/>
    <col min="11224" max="11224" width="11.42578125" style="1" customWidth="1"/>
    <col min="11225" max="11225" width="25.140625" style="1" customWidth="1"/>
    <col min="11226" max="11226" width="42.7109375" style="1" customWidth="1"/>
    <col min="11227" max="11227" width="9.28515625" style="1" customWidth="1"/>
    <col min="11228" max="11228" width="13.85546875" style="1" customWidth="1"/>
    <col min="11229" max="11229" width="10.42578125" style="1" customWidth="1"/>
    <col min="11230" max="11230" width="16.7109375" style="1" customWidth="1"/>
    <col min="11231" max="11231" width="16.28515625" style="1" customWidth="1"/>
    <col min="11232" max="11232" width="14.42578125" style="1" customWidth="1"/>
    <col min="11233" max="11233" width="14.85546875" style="1" customWidth="1"/>
    <col min="11234" max="11234" width="13" style="1" customWidth="1"/>
    <col min="11235" max="11235" width="18.7109375" style="1" customWidth="1"/>
    <col min="11236" max="11236" width="6" style="1" customWidth="1"/>
    <col min="11237" max="11237" width="15.28515625" style="1" customWidth="1"/>
    <col min="11238" max="11238" width="28" style="1" customWidth="1"/>
    <col min="11239" max="11239" width="13.5703125" style="1" customWidth="1"/>
    <col min="11240" max="11240" width="15.5703125" style="1" customWidth="1"/>
    <col min="11241" max="11241" width="8.85546875" style="1" customWidth="1"/>
    <col min="11242" max="11242" width="15.28515625" style="1" customWidth="1"/>
    <col min="11243" max="11243" width="15.7109375" style="1" customWidth="1"/>
    <col min="11244" max="11246" width="17.140625" style="1" customWidth="1"/>
    <col min="11247" max="11247" width="35.7109375" style="1" customWidth="1"/>
    <col min="11248" max="11248" width="28.5703125" style="1" customWidth="1"/>
    <col min="11249" max="11249" width="17.140625" style="1" customWidth="1"/>
    <col min="11250" max="11250" width="28.5703125" style="1" customWidth="1"/>
    <col min="11251" max="11479" width="9.140625" style="1"/>
    <col min="11480" max="11480" width="11.42578125" style="1" customWidth="1"/>
    <col min="11481" max="11481" width="25.140625" style="1" customWidth="1"/>
    <col min="11482" max="11482" width="42.7109375" style="1" customWidth="1"/>
    <col min="11483" max="11483" width="9.28515625" style="1" customWidth="1"/>
    <col min="11484" max="11484" width="13.85546875" style="1" customWidth="1"/>
    <col min="11485" max="11485" width="10.42578125" style="1" customWidth="1"/>
    <col min="11486" max="11486" width="16.7109375" style="1" customWidth="1"/>
    <col min="11487" max="11487" width="16.28515625" style="1" customWidth="1"/>
    <col min="11488" max="11488" width="14.42578125" style="1" customWidth="1"/>
    <col min="11489" max="11489" width="14.85546875" style="1" customWidth="1"/>
    <col min="11490" max="11490" width="13" style="1" customWidth="1"/>
    <col min="11491" max="11491" width="18.7109375" style="1" customWidth="1"/>
    <col min="11492" max="11492" width="6" style="1" customWidth="1"/>
    <col min="11493" max="11493" width="15.28515625" style="1" customWidth="1"/>
    <col min="11494" max="11494" width="28" style="1" customWidth="1"/>
    <col min="11495" max="11495" width="13.5703125" style="1" customWidth="1"/>
    <col min="11496" max="11496" width="15.5703125" style="1" customWidth="1"/>
    <col min="11497" max="11497" width="8.85546875" style="1" customWidth="1"/>
    <col min="11498" max="11498" width="15.28515625" style="1" customWidth="1"/>
    <col min="11499" max="11499" width="15.7109375" style="1" customWidth="1"/>
    <col min="11500" max="11502" width="17.140625" style="1" customWidth="1"/>
    <col min="11503" max="11503" width="35.7109375" style="1" customWidth="1"/>
    <col min="11504" max="11504" width="28.5703125" style="1" customWidth="1"/>
    <col min="11505" max="11505" width="17.140625" style="1" customWidth="1"/>
    <col min="11506" max="11506" width="28.5703125" style="1" customWidth="1"/>
    <col min="11507" max="11735" width="9.140625" style="1"/>
    <col min="11736" max="11736" width="11.42578125" style="1" customWidth="1"/>
    <col min="11737" max="11737" width="25.140625" style="1" customWidth="1"/>
    <col min="11738" max="11738" width="42.7109375" style="1" customWidth="1"/>
    <col min="11739" max="11739" width="9.28515625" style="1" customWidth="1"/>
    <col min="11740" max="11740" width="13.85546875" style="1" customWidth="1"/>
    <col min="11741" max="11741" width="10.42578125" style="1" customWidth="1"/>
    <col min="11742" max="11742" width="16.7109375" style="1" customWidth="1"/>
    <col min="11743" max="11743" width="16.28515625" style="1" customWidth="1"/>
    <col min="11744" max="11744" width="14.42578125" style="1" customWidth="1"/>
    <col min="11745" max="11745" width="14.85546875" style="1" customWidth="1"/>
    <col min="11746" max="11746" width="13" style="1" customWidth="1"/>
    <col min="11747" max="11747" width="18.7109375" style="1" customWidth="1"/>
    <col min="11748" max="11748" width="6" style="1" customWidth="1"/>
    <col min="11749" max="11749" width="15.28515625" style="1" customWidth="1"/>
    <col min="11750" max="11750" width="28" style="1" customWidth="1"/>
    <col min="11751" max="11751" width="13.5703125" style="1" customWidth="1"/>
    <col min="11752" max="11752" width="15.5703125" style="1" customWidth="1"/>
    <col min="11753" max="11753" width="8.85546875" style="1" customWidth="1"/>
    <col min="11754" max="11754" width="15.28515625" style="1" customWidth="1"/>
    <col min="11755" max="11755" width="15.7109375" style="1" customWidth="1"/>
    <col min="11756" max="11758" width="17.140625" style="1" customWidth="1"/>
    <col min="11759" max="11759" width="35.7109375" style="1" customWidth="1"/>
    <col min="11760" max="11760" width="28.5703125" style="1" customWidth="1"/>
    <col min="11761" max="11761" width="17.140625" style="1" customWidth="1"/>
    <col min="11762" max="11762" width="28.5703125" style="1" customWidth="1"/>
    <col min="11763" max="11991" width="9.140625" style="1"/>
    <col min="11992" max="11992" width="11.42578125" style="1" customWidth="1"/>
    <col min="11993" max="11993" width="25.140625" style="1" customWidth="1"/>
    <col min="11994" max="11994" width="42.7109375" style="1" customWidth="1"/>
    <col min="11995" max="11995" width="9.28515625" style="1" customWidth="1"/>
    <col min="11996" max="11996" width="13.85546875" style="1" customWidth="1"/>
    <col min="11997" max="11997" width="10.42578125" style="1" customWidth="1"/>
    <col min="11998" max="11998" width="16.7109375" style="1" customWidth="1"/>
    <col min="11999" max="11999" width="16.28515625" style="1" customWidth="1"/>
    <col min="12000" max="12000" width="14.42578125" style="1" customWidth="1"/>
    <col min="12001" max="12001" width="14.85546875" style="1" customWidth="1"/>
    <col min="12002" max="12002" width="13" style="1" customWidth="1"/>
    <col min="12003" max="12003" width="18.7109375" style="1" customWidth="1"/>
    <col min="12004" max="12004" width="6" style="1" customWidth="1"/>
    <col min="12005" max="12005" width="15.28515625" style="1" customWidth="1"/>
    <col min="12006" max="12006" width="28" style="1" customWidth="1"/>
    <col min="12007" max="12007" width="13.5703125" style="1" customWidth="1"/>
    <col min="12008" max="12008" width="15.5703125" style="1" customWidth="1"/>
    <col min="12009" max="12009" width="8.85546875" style="1" customWidth="1"/>
    <col min="12010" max="12010" width="15.28515625" style="1" customWidth="1"/>
    <col min="12011" max="12011" width="15.7109375" style="1" customWidth="1"/>
    <col min="12012" max="12014" width="17.140625" style="1" customWidth="1"/>
    <col min="12015" max="12015" width="35.7109375" style="1" customWidth="1"/>
    <col min="12016" max="12016" width="28.5703125" style="1" customWidth="1"/>
    <col min="12017" max="12017" width="17.140625" style="1" customWidth="1"/>
    <col min="12018" max="12018" width="28.5703125" style="1" customWidth="1"/>
    <col min="12019" max="12247" width="9.140625" style="1"/>
    <col min="12248" max="12248" width="11.42578125" style="1" customWidth="1"/>
    <col min="12249" max="12249" width="25.140625" style="1" customWidth="1"/>
    <col min="12250" max="12250" width="42.7109375" style="1" customWidth="1"/>
    <col min="12251" max="12251" width="9.28515625" style="1" customWidth="1"/>
    <col min="12252" max="12252" width="13.85546875" style="1" customWidth="1"/>
    <col min="12253" max="12253" width="10.42578125" style="1" customWidth="1"/>
    <col min="12254" max="12254" width="16.7109375" style="1" customWidth="1"/>
    <col min="12255" max="12255" width="16.28515625" style="1" customWidth="1"/>
    <col min="12256" max="12256" width="14.42578125" style="1" customWidth="1"/>
    <col min="12257" max="12257" width="14.85546875" style="1" customWidth="1"/>
    <col min="12258" max="12258" width="13" style="1" customWidth="1"/>
    <col min="12259" max="12259" width="18.7109375" style="1" customWidth="1"/>
    <col min="12260" max="12260" width="6" style="1" customWidth="1"/>
    <col min="12261" max="12261" width="15.28515625" style="1" customWidth="1"/>
    <col min="12262" max="12262" width="28" style="1" customWidth="1"/>
    <col min="12263" max="12263" width="13.5703125" style="1" customWidth="1"/>
    <col min="12264" max="12264" width="15.5703125" style="1" customWidth="1"/>
    <col min="12265" max="12265" width="8.85546875" style="1" customWidth="1"/>
    <col min="12266" max="12266" width="15.28515625" style="1" customWidth="1"/>
    <col min="12267" max="12267" width="15.7109375" style="1" customWidth="1"/>
    <col min="12268" max="12270" width="17.140625" style="1" customWidth="1"/>
    <col min="12271" max="12271" width="35.7109375" style="1" customWidth="1"/>
    <col min="12272" max="12272" width="28.5703125" style="1" customWidth="1"/>
    <col min="12273" max="12273" width="17.140625" style="1" customWidth="1"/>
    <col min="12274" max="12274" width="28.5703125" style="1" customWidth="1"/>
    <col min="12275" max="12503" width="9.140625" style="1"/>
    <col min="12504" max="12504" width="11.42578125" style="1" customWidth="1"/>
    <col min="12505" max="12505" width="25.140625" style="1" customWidth="1"/>
    <col min="12506" max="12506" width="42.7109375" style="1" customWidth="1"/>
    <col min="12507" max="12507" width="9.28515625" style="1" customWidth="1"/>
    <col min="12508" max="12508" width="13.85546875" style="1" customWidth="1"/>
    <col min="12509" max="12509" width="10.42578125" style="1" customWidth="1"/>
    <col min="12510" max="12510" width="16.7109375" style="1" customWidth="1"/>
    <col min="12511" max="12511" width="16.28515625" style="1" customWidth="1"/>
    <col min="12512" max="12512" width="14.42578125" style="1" customWidth="1"/>
    <col min="12513" max="12513" width="14.85546875" style="1" customWidth="1"/>
    <col min="12514" max="12514" width="13" style="1" customWidth="1"/>
    <col min="12515" max="12515" width="18.7109375" style="1" customWidth="1"/>
    <col min="12516" max="12516" width="6" style="1" customWidth="1"/>
    <col min="12517" max="12517" width="15.28515625" style="1" customWidth="1"/>
    <col min="12518" max="12518" width="28" style="1" customWidth="1"/>
    <col min="12519" max="12519" width="13.5703125" style="1" customWidth="1"/>
    <col min="12520" max="12520" width="15.5703125" style="1" customWidth="1"/>
    <col min="12521" max="12521" width="8.85546875" style="1" customWidth="1"/>
    <col min="12522" max="12522" width="15.28515625" style="1" customWidth="1"/>
    <col min="12523" max="12523" width="15.7109375" style="1" customWidth="1"/>
    <col min="12524" max="12526" width="17.140625" style="1" customWidth="1"/>
    <col min="12527" max="12527" width="35.7109375" style="1" customWidth="1"/>
    <col min="12528" max="12528" width="28.5703125" style="1" customWidth="1"/>
    <col min="12529" max="12529" width="17.140625" style="1" customWidth="1"/>
    <col min="12530" max="12530" width="28.5703125" style="1" customWidth="1"/>
    <col min="12531" max="12759" width="9.140625" style="1"/>
    <col min="12760" max="12760" width="11.42578125" style="1" customWidth="1"/>
    <col min="12761" max="12761" width="25.140625" style="1" customWidth="1"/>
    <col min="12762" max="12762" width="42.7109375" style="1" customWidth="1"/>
    <col min="12763" max="12763" width="9.28515625" style="1" customWidth="1"/>
    <col min="12764" max="12764" width="13.85546875" style="1" customWidth="1"/>
    <col min="12765" max="12765" width="10.42578125" style="1" customWidth="1"/>
    <col min="12766" max="12766" width="16.7109375" style="1" customWidth="1"/>
    <col min="12767" max="12767" width="16.28515625" style="1" customWidth="1"/>
    <col min="12768" max="12768" width="14.42578125" style="1" customWidth="1"/>
    <col min="12769" max="12769" width="14.85546875" style="1" customWidth="1"/>
    <col min="12770" max="12770" width="13" style="1" customWidth="1"/>
    <col min="12771" max="12771" width="18.7109375" style="1" customWidth="1"/>
    <col min="12772" max="12772" width="6" style="1" customWidth="1"/>
    <col min="12773" max="12773" width="15.28515625" style="1" customWidth="1"/>
    <col min="12774" max="12774" width="28" style="1" customWidth="1"/>
    <col min="12775" max="12775" width="13.5703125" style="1" customWidth="1"/>
    <col min="12776" max="12776" width="15.5703125" style="1" customWidth="1"/>
    <col min="12777" max="12777" width="8.85546875" style="1" customWidth="1"/>
    <col min="12778" max="12778" width="15.28515625" style="1" customWidth="1"/>
    <col min="12779" max="12779" width="15.7109375" style="1" customWidth="1"/>
    <col min="12780" max="12782" width="17.140625" style="1" customWidth="1"/>
    <col min="12783" max="12783" width="35.7109375" style="1" customWidth="1"/>
    <col min="12784" max="12784" width="28.5703125" style="1" customWidth="1"/>
    <col min="12785" max="12785" width="17.140625" style="1" customWidth="1"/>
    <col min="12786" max="12786" width="28.5703125" style="1" customWidth="1"/>
    <col min="12787" max="13015" width="9.140625" style="1"/>
    <col min="13016" max="13016" width="11.42578125" style="1" customWidth="1"/>
    <col min="13017" max="13017" width="25.140625" style="1" customWidth="1"/>
    <col min="13018" max="13018" width="42.7109375" style="1" customWidth="1"/>
    <col min="13019" max="13019" width="9.28515625" style="1" customWidth="1"/>
    <col min="13020" max="13020" width="13.85546875" style="1" customWidth="1"/>
    <col min="13021" max="13021" width="10.42578125" style="1" customWidth="1"/>
    <col min="13022" max="13022" width="16.7109375" style="1" customWidth="1"/>
    <col min="13023" max="13023" width="16.28515625" style="1" customWidth="1"/>
    <col min="13024" max="13024" width="14.42578125" style="1" customWidth="1"/>
    <col min="13025" max="13025" width="14.85546875" style="1" customWidth="1"/>
    <col min="13026" max="13026" width="13" style="1" customWidth="1"/>
    <col min="13027" max="13027" width="18.7109375" style="1" customWidth="1"/>
    <col min="13028" max="13028" width="6" style="1" customWidth="1"/>
    <col min="13029" max="13029" width="15.28515625" style="1" customWidth="1"/>
    <col min="13030" max="13030" width="28" style="1" customWidth="1"/>
    <col min="13031" max="13031" width="13.5703125" style="1" customWidth="1"/>
    <col min="13032" max="13032" width="15.5703125" style="1" customWidth="1"/>
    <col min="13033" max="13033" width="8.85546875" style="1" customWidth="1"/>
    <col min="13034" max="13034" width="15.28515625" style="1" customWidth="1"/>
    <col min="13035" max="13035" width="15.7109375" style="1" customWidth="1"/>
    <col min="13036" max="13038" width="17.140625" style="1" customWidth="1"/>
    <col min="13039" max="13039" width="35.7109375" style="1" customWidth="1"/>
    <col min="13040" max="13040" width="28.5703125" style="1" customWidth="1"/>
    <col min="13041" max="13041" width="17.140625" style="1" customWidth="1"/>
    <col min="13042" max="13042" width="28.5703125" style="1" customWidth="1"/>
    <col min="13043" max="13271" width="9.140625" style="1"/>
    <col min="13272" max="13272" width="11.42578125" style="1" customWidth="1"/>
    <col min="13273" max="13273" width="25.140625" style="1" customWidth="1"/>
    <col min="13274" max="13274" width="42.7109375" style="1" customWidth="1"/>
    <col min="13275" max="13275" width="9.28515625" style="1" customWidth="1"/>
    <col min="13276" max="13276" width="13.85546875" style="1" customWidth="1"/>
    <col min="13277" max="13277" width="10.42578125" style="1" customWidth="1"/>
    <col min="13278" max="13278" width="16.7109375" style="1" customWidth="1"/>
    <col min="13279" max="13279" width="16.28515625" style="1" customWidth="1"/>
    <col min="13280" max="13280" width="14.42578125" style="1" customWidth="1"/>
    <col min="13281" max="13281" width="14.85546875" style="1" customWidth="1"/>
    <col min="13282" max="13282" width="13" style="1" customWidth="1"/>
    <col min="13283" max="13283" width="18.7109375" style="1" customWidth="1"/>
    <col min="13284" max="13284" width="6" style="1" customWidth="1"/>
    <col min="13285" max="13285" width="15.28515625" style="1" customWidth="1"/>
    <col min="13286" max="13286" width="28" style="1" customWidth="1"/>
    <col min="13287" max="13287" width="13.5703125" style="1" customWidth="1"/>
    <col min="13288" max="13288" width="15.5703125" style="1" customWidth="1"/>
    <col min="13289" max="13289" width="8.85546875" style="1" customWidth="1"/>
    <col min="13290" max="13290" width="15.28515625" style="1" customWidth="1"/>
    <col min="13291" max="13291" width="15.7109375" style="1" customWidth="1"/>
    <col min="13292" max="13294" width="17.140625" style="1" customWidth="1"/>
    <col min="13295" max="13295" width="35.7109375" style="1" customWidth="1"/>
    <col min="13296" max="13296" width="28.5703125" style="1" customWidth="1"/>
    <col min="13297" max="13297" width="17.140625" style="1" customWidth="1"/>
    <col min="13298" max="13298" width="28.5703125" style="1" customWidth="1"/>
    <col min="13299" max="13527" width="9.140625" style="1"/>
    <col min="13528" max="13528" width="11.42578125" style="1" customWidth="1"/>
    <col min="13529" max="13529" width="25.140625" style="1" customWidth="1"/>
    <col min="13530" max="13530" width="42.7109375" style="1" customWidth="1"/>
    <col min="13531" max="13531" width="9.28515625" style="1" customWidth="1"/>
    <col min="13532" max="13532" width="13.85546875" style="1" customWidth="1"/>
    <col min="13533" max="13533" width="10.42578125" style="1" customWidth="1"/>
    <col min="13534" max="13534" width="16.7109375" style="1" customWidth="1"/>
    <col min="13535" max="13535" width="16.28515625" style="1" customWidth="1"/>
    <col min="13536" max="13536" width="14.42578125" style="1" customWidth="1"/>
    <col min="13537" max="13537" width="14.85546875" style="1" customWidth="1"/>
    <col min="13538" max="13538" width="13" style="1" customWidth="1"/>
    <col min="13539" max="13539" width="18.7109375" style="1" customWidth="1"/>
    <col min="13540" max="13540" width="6" style="1" customWidth="1"/>
    <col min="13541" max="13541" width="15.28515625" style="1" customWidth="1"/>
    <col min="13542" max="13542" width="28" style="1" customWidth="1"/>
    <col min="13543" max="13543" width="13.5703125" style="1" customWidth="1"/>
    <col min="13544" max="13544" width="15.5703125" style="1" customWidth="1"/>
    <col min="13545" max="13545" width="8.85546875" style="1" customWidth="1"/>
    <col min="13546" max="13546" width="15.28515625" style="1" customWidth="1"/>
    <col min="13547" max="13547" width="15.7109375" style="1" customWidth="1"/>
    <col min="13548" max="13550" width="17.140625" style="1" customWidth="1"/>
    <col min="13551" max="13551" width="35.7109375" style="1" customWidth="1"/>
    <col min="13552" max="13552" width="28.5703125" style="1" customWidth="1"/>
    <col min="13553" max="13553" width="17.140625" style="1" customWidth="1"/>
    <col min="13554" max="13554" width="28.5703125" style="1" customWidth="1"/>
    <col min="13555" max="13783" width="9.140625" style="1"/>
    <col min="13784" max="13784" width="11.42578125" style="1" customWidth="1"/>
    <col min="13785" max="13785" width="25.140625" style="1" customWidth="1"/>
    <col min="13786" max="13786" width="42.7109375" style="1" customWidth="1"/>
    <col min="13787" max="13787" width="9.28515625" style="1" customWidth="1"/>
    <col min="13788" max="13788" width="13.85546875" style="1" customWidth="1"/>
    <col min="13789" max="13789" width="10.42578125" style="1" customWidth="1"/>
    <col min="13790" max="13790" width="16.7109375" style="1" customWidth="1"/>
    <col min="13791" max="13791" width="16.28515625" style="1" customWidth="1"/>
    <col min="13792" max="13792" width="14.42578125" style="1" customWidth="1"/>
    <col min="13793" max="13793" width="14.85546875" style="1" customWidth="1"/>
    <col min="13794" max="13794" width="13" style="1" customWidth="1"/>
    <col min="13795" max="13795" width="18.7109375" style="1" customWidth="1"/>
    <col min="13796" max="13796" width="6" style="1" customWidth="1"/>
    <col min="13797" max="13797" width="15.28515625" style="1" customWidth="1"/>
    <col min="13798" max="13798" width="28" style="1" customWidth="1"/>
    <col min="13799" max="13799" width="13.5703125" style="1" customWidth="1"/>
    <col min="13800" max="13800" width="15.5703125" style="1" customWidth="1"/>
    <col min="13801" max="13801" width="8.85546875" style="1" customWidth="1"/>
    <col min="13802" max="13802" width="15.28515625" style="1" customWidth="1"/>
    <col min="13803" max="13803" width="15.7109375" style="1" customWidth="1"/>
    <col min="13804" max="13806" width="17.140625" style="1" customWidth="1"/>
    <col min="13807" max="13807" width="35.7109375" style="1" customWidth="1"/>
    <col min="13808" max="13808" width="28.5703125" style="1" customWidth="1"/>
    <col min="13809" max="13809" width="17.140625" style="1" customWidth="1"/>
    <col min="13810" max="13810" width="28.5703125" style="1" customWidth="1"/>
    <col min="13811" max="14039" width="9.140625" style="1"/>
    <col min="14040" max="14040" width="11.42578125" style="1" customWidth="1"/>
    <col min="14041" max="14041" width="25.140625" style="1" customWidth="1"/>
    <col min="14042" max="14042" width="42.7109375" style="1" customWidth="1"/>
    <col min="14043" max="14043" width="9.28515625" style="1" customWidth="1"/>
    <col min="14044" max="14044" width="13.85546875" style="1" customWidth="1"/>
    <col min="14045" max="14045" width="10.42578125" style="1" customWidth="1"/>
    <col min="14046" max="14046" width="16.7109375" style="1" customWidth="1"/>
    <col min="14047" max="14047" width="16.28515625" style="1" customWidth="1"/>
    <col min="14048" max="14048" width="14.42578125" style="1" customWidth="1"/>
    <col min="14049" max="14049" width="14.85546875" style="1" customWidth="1"/>
    <col min="14050" max="14050" width="13" style="1" customWidth="1"/>
    <col min="14051" max="14051" width="18.7109375" style="1" customWidth="1"/>
    <col min="14052" max="14052" width="6" style="1" customWidth="1"/>
    <col min="14053" max="14053" width="15.28515625" style="1" customWidth="1"/>
    <col min="14054" max="14054" width="28" style="1" customWidth="1"/>
    <col min="14055" max="14055" width="13.5703125" style="1" customWidth="1"/>
    <col min="14056" max="14056" width="15.5703125" style="1" customWidth="1"/>
    <col min="14057" max="14057" width="8.85546875" style="1" customWidth="1"/>
    <col min="14058" max="14058" width="15.28515625" style="1" customWidth="1"/>
    <col min="14059" max="14059" width="15.7109375" style="1" customWidth="1"/>
    <col min="14060" max="14062" width="17.140625" style="1" customWidth="1"/>
    <col min="14063" max="14063" width="35.7109375" style="1" customWidth="1"/>
    <col min="14064" max="14064" width="28.5703125" style="1" customWidth="1"/>
    <col min="14065" max="14065" width="17.140625" style="1" customWidth="1"/>
    <col min="14066" max="14066" width="28.5703125" style="1" customWidth="1"/>
    <col min="14067" max="14295" width="9.140625" style="1"/>
    <col min="14296" max="14296" width="11.42578125" style="1" customWidth="1"/>
    <col min="14297" max="14297" width="25.140625" style="1" customWidth="1"/>
    <col min="14298" max="14298" width="42.7109375" style="1" customWidth="1"/>
    <col min="14299" max="14299" width="9.28515625" style="1" customWidth="1"/>
    <col min="14300" max="14300" width="13.85546875" style="1" customWidth="1"/>
    <col min="14301" max="14301" width="10.42578125" style="1" customWidth="1"/>
    <col min="14302" max="14302" width="16.7109375" style="1" customWidth="1"/>
    <col min="14303" max="14303" width="16.28515625" style="1" customWidth="1"/>
    <col min="14304" max="14304" width="14.42578125" style="1" customWidth="1"/>
    <col min="14305" max="14305" width="14.85546875" style="1" customWidth="1"/>
    <col min="14306" max="14306" width="13" style="1" customWidth="1"/>
    <col min="14307" max="14307" width="18.7109375" style="1" customWidth="1"/>
    <col min="14308" max="14308" width="6" style="1" customWidth="1"/>
    <col min="14309" max="14309" width="15.28515625" style="1" customWidth="1"/>
    <col min="14310" max="14310" width="28" style="1" customWidth="1"/>
    <col min="14311" max="14311" width="13.5703125" style="1" customWidth="1"/>
    <col min="14312" max="14312" width="15.5703125" style="1" customWidth="1"/>
    <col min="14313" max="14313" width="8.85546875" style="1" customWidth="1"/>
    <col min="14314" max="14314" width="15.28515625" style="1" customWidth="1"/>
    <col min="14315" max="14315" width="15.7109375" style="1" customWidth="1"/>
    <col min="14316" max="14318" width="17.140625" style="1" customWidth="1"/>
    <col min="14319" max="14319" width="35.7109375" style="1" customWidth="1"/>
    <col min="14320" max="14320" width="28.5703125" style="1" customWidth="1"/>
    <col min="14321" max="14321" width="17.140625" style="1" customWidth="1"/>
    <col min="14322" max="14322" width="28.5703125" style="1" customWidth="1"/>
    <col min="14323" max="14551" width="9.140625" style="1"/>
    <col min="14552" max="14552" width="11.42578125" style="1" customWidth="1"/>
    <col min="14553" max="14553" width="25.140625" style="1" customWidth="1"/>
    <col min="14554" max="14554" width="42.7109375" style="1" customWidth="1"/>
    <col min="14555" max="14555" width="9.28515625" style="1" customWidth="1"/>
    <col min="14556" max="14556" width="13.85546875" style="1" customWidth="1"/>
    <col min="14557" max="14557" width="10.42578125" style="1" customWidth="1"/>
    <col min="14558" max="14558" width="16.7109375" style="1" customWidth="1"/>
    <col min="14559" max="14559" width="16.28515625" style="1" customWidth="1"/>
    <col min="14560" max="14560" width="14.42578125" style="1" customWidth="1"/>
    <col min="14561" max="14561" width="14.85546875" style="1" customWidth="1"/>
    <col min="14562" max="14562" width="13" style="1" customWidth="1"/>
    <col min="14563" max="14563" width="18.7109375" style="1" customWidth="1"/>
    <col min="14564" max="14564" width="6" style="1" customWidth="1"/>
    <col min="14565" max="14565" width="15.28515625" style="1" customWidth="1"/>
    <col min="14566" max="14566" width="28" style="1" customWidth="1"/>
    <col min="14567" max="14567" width="13.5703125" style="1" customWidth="1"/>
    <col min="14568" max="14568" width="15.5703125" style="1" customWidth="1"/>
    <col min="14569" max="14569" width="8.85546875" style="1" customWidth="1"/>
    <col min="14570" max="14570" width="15.28515625" style="1" customWidth="1"/>
    <col min="14571" max="14571" width="15.7109375" style="1" customWidth="1"/>
    <col min="14572" max="14574" width="17.140625" style="1" customWidth="1"/>
    <col min="14575" max="14575" width="35.7109375" style="1" customWidth="1"/>
    <col min="14576" max="14576" width="28.5703125" style="1" customWidth="1"/>
    <col min="14577" max="14577" width="17.140625" style="1" customWidth="1"/>
    <col min="14578" max="14578" width="28.5703125" style="1" customWidth="1"/>
    <col min="14579" max="14807" width="9.140625" style="1"/>
    <col min="14808" max="14808" width="11.42578125" style="1" customWidth="1"/>
    <col min="14809" max="14809" width="25.140625" style="1" customWidth="1"/>
    <col min="14810" max="14810" width="42.7109375" style="1" customWidth="1"/>
    <col min="14811" max="14811" width="9.28515625" style="1" customWidth="1"/>
    <col min="14812" max="14812" width="13.85546875" style="1" customWidth="1"/>
    <col min="14813" max="14813" width="10.42578125" style="1" customWidth="1"/>
    <col min="14814" max="14814" width="16.7109375" style="1" customWidth="1"/>
    <col min="14815" max="14815" width="16.28515625" style="1" customWidth="1"/>
    <col min="14816" max="14816" width="14.42578125" style="1" customWidth="1"/>
    <col min="14817" max="14817" width="14.85546875" style="1" customWidth="1"/>
    <col min="14818" max="14818" width="13" style="1" customWidth="1"/>
    <col min="14819" max="14819" width="18.7109375" style="1" customWidth="1"/>
    <col min="14820" max="14820" width="6" style="1" customWidth="1"/>
    <col min="14821" max="14821" width="15.28515625" style="1" customWidth="1"/>
    <col min="14822" max="14822" width="28" style="1" customWidth="1"/>
    <col min="14823" max="14823" width="13.5703125" style="1" customWidth="1"/>
    <col min="14824" max="14824" width="15.5703125" style="1" customWidth="1"/>
    <col min="14825" max="14825" width="8.85546875" style="1" customWidth="1"/>
    <col min="14826" max="14826" width="15.28515625" style="1" customWidth="1"/>
    <col min="14827" max="14827" width="15.7109375" style="1" customWidth="1"/>
    <col min="14828" max="14830" width="17.140625" style="1" customWidth="1"/>
    <col min="14831" max="14831" width="35.7109375" style="1" customWidth="1"/>
    <col min="14832" max="14832" width="28.5703125" style="1" customWidth="1"/>
    <col min="14833" max="14833" width="17.140625" style="1" customWidth="1"/>
    <col min="14834" max="14834" width="28.5703125" style="1" customWidth="1"/>
    <col min="14835" max="15063" width="9.140625" style="1"/>
    <col min="15064" max="15064" width="11.42578125" style="1" customWidth="1"/>
    <col min="15065" max="15065" width="25.140625" style="1" customWidth="1"/>
    <col min="15066" max="15066" width="42.7109375" style="1" customWidth="1"/>
    <col min="15067" max="15067" width="9.28515625" style="1" customWidth="1"/>
    <col min="15068" max="15068" width="13.85546875" style="1" customWidth="1"/>
    <col min="15069" max="15069" width="10.42578125" style="1" customWidth="1"/>
    <col min="15070" max="15070" width="16.7109375" style="1" customWidth="1"/>
    <col min="15071" max="15071" width="16.28515625" style="1" customWidth="1"/>
    <col min="15072" max="15072" width="14.42578125" style="1" customWidth="1"/>
    <col min="15073" max="15073" width="14.85546875" style="1" customWidth="1"/>
    <col min="15074" max="15074" width="13" style="1" customWidth="1"/>
    <col min="15075" max="15075" width="18.7109375" style="1" customWidth="1"/>
    <col min="15076" max="15076" width="6" style="1" customWidth="1"/>
    <col min="15077" max="15077" width="15.28515625" style="1" customWidth="1"/>
    <col min="15078" max="15078" width="28" style="1" customWidth="1"/>
    <col min="15079" max="15079" width="13.5703125" style="1" customWidth="1"/>
    <col min="15080" max="15080" width="15.5703125" style="1" customWidth="1"/>
    <col min="15081" max="15081" width="8.85546875" style="1" customWidth="1"/>
    <col min="15082" max="15082" width="15.28515625" style="1" customWidth="1"/>
    <col min="15083" max="15083" width="15.7109375" style="1" customWidth="1"/>
    <col min="15084" max="15086" width="17.140625" style="1" customWidth="1"/>
    <col min="15087" max="15087" width="35.7109375" style="1" customWidth="1"/>
    <col min="15088" max="15088" width="28.5703125" style="1" customWidth="1"/>
    <col min="15089" max="15089" width="17.140625" style="1" customWidth="1"/>
    <col min="15090" max="15090" width="28.5703125" style="1" customWidth="1"/>
    <col min="15091" max="15319" width="9.140625" style="1"/>
    <col min="15320" max="15320" width="11.42578125" style="1" customWidth="1"/>
    <col min="15321" max="15321" width="25.140625" style="1" customWidth="1"/>
    <col min="15322" max="15322" width="42.7109375" style="1" customWidth="1"/>
    <col min="15323" max="15323" width="9.28515625" style="1" customWidth="1"/>
    <col min="15324" max="15324" width="13.85546875" style="1" customWidth="1"/>
    <col min="15325" max="15325" width="10.42578125" style="1" customWidth="1"/>
    <col min="15326" max="15326" width="16.7109375" style="1" customWidth="1"/>
    <col min="15327" max="15327" width="16.28515625" style="1" customWidth="1"/>
    <col min="15328" max="15328" width="14.42578125" style="1" customWidth="1"/>
    <col min="15329" max="15329" width="14.85546875" style="1" customWidth="1"/>
    <col min="15330" max="15330" width="13" style="1" customWidth="1"/>
    <col min="15331" max="15331" width="18.7109375" style="1" customWidth="1"/>
    <col min="15332" max="15332" width="6" style="1" customWidth="1"/>
    <col min="15333" max="15333" width="15.28515625" style="1" customWidth="1"/>
    <col min="15334" max="15334" width="28" style="1" customWidth="1"/>
    <col min="15335" max="15335" width="13.5703125" style="1" customWidth="1"/>
    <col min="15336" max="15336" width="15.5703125" style="1" customWidth="1"/>
    <col min="15337" max="15337" width="8.85546875" style="1" customWidth="1"/>
    <col min="15338" max="15338" width="15.28515625" style="1" customWidth="1"/>
    <col min="15339" max="15339" width="15.7109375" style="1" customWidth="1"/>
    <col min="15340" max="15342" width="17.140625" style="1" customWidth="1"/>
    <col min="15343" max="15343" width="35.7109375" style="1" customWidth="1"/>
    <col min="15344" max="15344" width="28.5703125" style="1" customWidth="1"/>
    <col min="15345" max="15345" width="17.140625" style="1" customWidth="1"/>
    <col min="15346" max="15346" width="28.5703125" style="1" customWidth="1"/>
    <col min="15347" max="15575" width="9.140625" style="1"/>
    <col min="15576" max="15576" width="11.42578125" style="1" customWidth="1"/>
    <col min="15577" max="15577" width="25.140625" style="1" customWidth="1"/>
    <col min="15578" max="15578" width="42.7109375" style="1" customWidth="1"/>
    <col min="15579" max="15579" width="9.28515625" style="1" customWidth="1"/>
    <col min="15580" max="15580" width="13.85546875" style="1" customWidth="1"/>
    <col min="15581" max="15581" width="10.42578125" style="1" customWidth="1"/>
    <col min="15582" max="15582" width="16.7109375" style="1" customWidth="1"/>
    <col min="15583" max="15583" width="16.28515625" style="1" customWidth="1"/>
    <col min="15584" max="15584" width="14.42578125" style="1" customWidth="1"/>
    <col min="15585" max="15585" width="14.85546875" style="1" customWidth="1"/>
    <col min="15586" max="15586" width="13" style="1" customWidth="1"/>
    <col min="15587" max="15587" width="18.7109375" style="1" customWidth="1"/>
    <col min="15588" max="15588" width="6" style="1" customWidth="1"/>
    <col min="15589" max="15589" width="15.28515625" style="1" customWidth="1"/>
    <col min="15590" max="15590" width="28" style="1" customWidth="1"/>
    <col min="15591" max="15591" width="13.5703125" style="1" customWidth="1"/>
    <col min="15592" max="15592" width="15.5703125" style="1" customWidth="1"/>
    <col min="15593" max="15593" width="8.85546875" style="1" customWidth="1"/>
    <col min="15594" max="15594" width="15.28515625" style="1" customWidth="1"/>
    <col min="15595" max="15595" width="15.7109375" style="1" customWidth="1"/>
    <col min="15596" max="15598" width="17.140625" style="1" customWidth="1"/>
    <col min="15599" max="15599" width="35.7109375" style="1" customWidth="1"/>
    <col min="15600" max="15600" width="28.5703125" style="1" customWidth="1"/>
    <col min="15601" max="15601" width="17.140625" style="1" customWidth="1"/>
    <col min="15602" max="15602" width="28.5703125" style="1" customWidth="1"/>
    <col min="15603" max="15831" width="9.140625" style="1"/>
    <col min="15832" max="15832" width="11.42578125" style="1" customWidth="1"/>
    <col min="15833" max="15833" width="25.140625" style="1" customWidth="1"/>
    <col min="15834" max="15834" width="42.7109375" style="1" customWidth="1"/>
    <col min="15835" max="15835" width="9.28515625" style="1" customWidth="1"/>
    <col min="15836" max="15836" width="13.85546875" style="1" customWidth="1"/>
    <col min="15837" max="15837" width="10.42578125" style="1" customWidth="1"/>
    <col min="15838" max="15838" width="16.7109375" style="1" customWidth="1"/>
    <col min="15839" max="15839" width="16.28515625" style="1" customWidth="1"/>
    <col min="15840" max="15840" width="14.42578125" style="1" customWidth="1"/>
    <col min="15841" max="15841" width="14.85546875" style="1" customWidth="1"/>
    <col min="15842" max="15842" width="13" style="1" customWidth="1"/>
    <col min="15843" max="15843" width="18.7109375" style="1" customWidth="1"/>
    <col min="15844" max="15844" width="6" style="1" customWidth="1"/>
    <col min="15845" max="15845" width="15.28515625" style="1" customWidth="1"/>
    <col min="15846" max="15846" width="28" style="1" customWidth="1"/>
    <col min="15847" max="15847" width="13.5703125" style="1" customWidth="1"/>
    <col min="15848" max="15848" width="15.5703125" style="1" customWidth="1"/>
    <col min="15849" max="15849" width="8.85546875" style="1" customWidth="1"/>
    <col min="15850" max="15850" width="15.28515625" style="1" customWidth="1"/>
    <col min="15851" max="15851" width="15.7109375" style="1" customWidth="1"/>
    <col min="15852" max="15854" width="17.140625" style="1" customWidth="1"/>
    <col min="15855" max="15855" width="35.7109375" style="1" customWidth="1"/>
    <col min="15856" max="15856" width="28.5703125" style="1" customWidth="1"/>
    <col min="15857" max="15857" width="17.140625" style="1" customWidth="1"/>
    <col min="15858" max="15858" width="28.5703125" style="1" customWidth="1"/>
    <col min="15859" max="16087" width="9.140625" style="1"/>
    <col min="16088" max="16088" width="11.42578125" style="1" customWidth="1"/>
    <col min="16089" max="16089" width="25.140625" style="1" customWidth="1"/>
    <col min="16090" max="16090" width="42.7109375" style="1" customWidth="1"/>
    <col min="16091" max="16091" width="9.28515625" style="1" customWidth="1"/>
    <col min="16092" max="16092" width="13.85546875" style="1" customWidth="1"/>
    <col min="16093" max="16093" width="10.42578125" style="1" customWidth="1"/>
    <col min="16094" max="16094" width="16.7109375" style="1" customWidth="1"/>
    <col min="16095" max="16095" width="16.28515625" style="1" customWidth="1"/>
    <col min="16096" max="16096" width="14.42578125" style="1" customWidth="1"/>
    <col min="16097" max="16097" width="14.85546875" style="1" customWidth="1"/>
    <col min="16098" max="16098" width="13" style="1" customWidth="1"/>
    <col min="16099" max="16099" width="18.7109375" style="1" customWidth="1"/>
    <col min="16100" max="16100" width="6" style="1" customWidth="1"/>
    <col min="16101" max="16101" width="15.28515625" style="1" customWidth="1"/>
    <col min="16102" max="16102" width="28" style="1" customWidth="1"/>
    <col min="16103" max="16103" width="13.5703125" style="1" customWidth="1"/>
    <col min="16104" max="16104" width="15.5703125" style="1" customWidth="1"/>
    <col min="16105" max="16105" width="8.85546875" style="1" customWidth="1"/>
    <col min="16106" max="16106" width="15.28515625" style="1" customWidth="1"/>
    <col min="16107" max="16107" width="15.7109375" style="1" customWidth="1"/>
    <col min="16108" max="16110" width="17.140625" style="1" customWidth="1"/>
    <col min="16111" max="16111" width="35.7109375" style="1" customWidth="1"/>
    <col min="16112" max="16112" width="28.5703125" style="1" customWidth="1"/>
    <col min="16113" max="16113" width="17.140625" style="1" customWidth="1"/>
    <col min="16114" max="16114" width="28.5703125" style="1" customWidth="1"/>
    <col min="16115" max="16384" width="9.140625" style="1"/>
  </cols>
  <sheetData>
    <row r="1" spans="2:20" ht="15" thickBot="1" x14ac:dyDescent="0.3"/>
    <row r="2" spans="2:20" s="4" customFormat="1" ht="24.75" customHeight="1" thickBot="1" x14ac:dyDescent="0.25">
      <c r="B2" s="114" t="s">
        <v>22</v>
      </c>
      <c r="C2" s="115"/>
      <c r="D2" s="115"/>
      <c r="E2" s="115"/>
      <c r="F2" s="115"/>
      <c r="G2" s="115"/>
      <c r="H2" s="115"/>
      <c r="I2" s="115"/>
      <c r="J2" s="116"/>
      <c r="K2" s="23"/>
      <c r="L2" s="114" t="s">
        <v>23</v>
      </c>
      <c r="M2" s="115"/>
      <c r="N2" s="115"/>
      <c r="O2" s="115"/>
      <c r="P2" s="115"/>
      <c r="Q2" s="115"/>
      <c r="R2" s="115"/>
      <c r="S2" s="115"/>
      <c r="T2" s="116"/>
    </row>
    <row r="3" spans="2:20" s="4" customFormat="1" ht="8.25" customHeight="1" thickBot="1" x14ac:dyDescent="0.25">
      <c r="B3" s="24"/>
      <c r="C3" s="24"/>
      <c r="D3" s="24"/>
      <c r="E3" s="24"/>
      <c r="F3" s="24"/>
      <c r="G3" s="24"/>
      <c r="H3" s="24"/>
      <c r="I3" s="23"/>
      <c r="J3" s="23"/>
      <c r="K3" s="23"/>
      <c r="L3" s="24"/>
      <c r="M3" s="24"/>
      <c r="N3" s="24"/>
      <c r="O3" s="24"/>
      <c r="P3" s="24"/>
      <c r="Q3" s="24"/>
      <c r="R3" s="23"/>
      <c r="S3" s="23"/>
    </row>
    <row r="4" spans="2:20" s="5" customFormat="1" ht="18" thickBot="1" x14ac:dyDescent="0.25">
      <c r="B4" s="126" t="s">
        <v>8</v>
      </c>
      <c r="C4" s="127"/>
      <c r="D4" s="123"/>
      <c r="E4" s="124"/>
      <c r="F4" s="124"/>
      <c r="G4" s="124"/>
      <c r="H4" s="124"/>
      <c r="I4" s="124"/>
      <c r="J4" s="125"/>
      <c r="L4" s="126" t="s">
        <v>8</v>
      </c>
      <c r="M4" s="132"/>
      <c r="N4" s="135"/>
      <c r="O4" s="136"/>
      <c r="P4" s="136"/>
      <c r="Q4" s="136"/>
      <c r="R4" s="136"/>
      <c r="S4" s="136"/>
      <c r="T4" s="137"/>
    </row>
    <row r="5" spans="2:20" s="6" customFormat="1" ht="18" thickBot="1" x14ac:dyDescent="0.3">
      <c r="B5" s="128" t="s">
        <v>7</v>
      </c>
      <c r="C5" s="129"/>
      <c r="D5" s="120"/>
      <c r="E5" s="121"/>
      <c r="F5" s="121"/>
      <c r="G5" s="121"/>
      <c r="H5" s="121"/>
      <c r="I5" s="121"/>
      <c r="J5" s="122"/>
      <c r="L5" s="128" t="s">
        <v>7</v>
      </c>
      <c r="M5" s="133"/>
      <c r="N5" s="138"/>
      <c r="O5" s="139"/>
      <c r="P5" s="139"/>
      <c r="Q5" s="139"/>
      <c r="R5" s="139"/>
      <c r="S5" s="139"/>
      <c r="T5" s="140"/>
    </row>
    <row r="6" spans="2:20" s="6" customFormat="1" ht="18" thickBot="1" x14ac:dyDescent="0.3">
      <c r="B6" s="128" t="s">
        <v>9</v>
      </c>
      <c r="C6" s="129"/>
      <c r="D6" s="120"/>
      <c r="E6" s="121"/>
      <c r="F6" s="121"/>
      <c r="G6" s="121"/>
      <c r="H6" s="121"/>
      <c r="I6" s="121"/>
      <c r="J6" s="122"/>
      <c r="L6" s="128" t="s">
        <v>9</v>
      </c>
      <c r="M6" s="133"/>
      <c r="N6" s="138"/>
      <c r="O6" s="139"/>
      <c r="P6" s="139"/>
      <c r="Q6" s="139"/>
      <c r="R6" s="139"/>
      <c r="S6" s="139"/>
      <c r="T6" s="140"/>
    </row>
    <row r="7" spans="2:20" s="6" customFormat="1" ht="18" thickBot="1" x14ac:dyDescent="0.3">
      <c r="B7" s="130" t="s">
        <v>0</v>
      </c>
      <c r="C7" s="131"/>
      <c r="D7" s="117"/>
      <c r="E7" s="118"/>
      <c r="F7" s="118"/>
      <c r="G7" s="118"/>
      <c r="H7" s="118"/>
      <c r="I7" s="118"/>
      <c r="J7" s="119"/>
      <c r="L7" s="130" t="s">
        <v>0</v>
      </c>
      <c r="M7" s="134"/>
      <c r="N7" s="138"/>
      <c r="O7" s="139"/>
      <c r="P7" s="139"/>
      <c r="Q7" s="139"/>
      <c r="R7" s="139"/>
      <c r="S7" s="139"/>
      <c r="T7" s="140"/>
    </row>
    <row r="8" spans="2:20" ht="15" thickBot="1" x14ac:dyDescent="0.3">
      <c r="B8" s="3"/>
      <c r="G8" s="7"/>
      <c r="H8" s="7"/>
      <c r="L8" s="3"/>
      <c r="M8" s="3"/>
      <c r="O8" s="2"/>
      <c r="P8" s="57"/>
      <c r="Q8" s="57"/>
    </row>
    <row r="9" spans="2:20" s="8" customFormat="1" ht="42" customHeight="1" thickBot="1" x14ac:dyDescent="0.25">
      <c r="B9" s="19" t="s">
        <v>1</v>
      </c>
      <c r="C9" s="20" t="s">
        <v>2</v>
      </c>
      <c r="D9" s="20" t="s">
        <v>15</v>
      </c>
      <c r="E9" s="20" t="s">
        <v>3</v>
      </c>
      <c r="F9" s="20" t="s">
        <v>4</v>
      </c>
      <c r="G9" s="21" t="s">
        <v>5</v>
      </c>
      <c r="H9" s="21" t="s">
        <v>25</v>
      </c>
      <c r="I9" s="21" t="s">
        <v>16</v>
      </c>
      <c r="J9" s="22" t="s">
        <v>17</v>
      </c>
      <c r="L9" s="62" t="s">
        <v>18</v>
      </c>
      <c r="M9" s="63" t="s">
        <v>15</v>
      </c>
      <c r="N9" s="64" t="s">
        <v>19</v>
      </c>
      <c r="O9" s="65" t="s">
        <v>21</v>
      </c>
      <c r="P9" s="105" t="s">
        <v>39</v>
      </c>
      <c r="Q9" s="66" t="s">
        <v>5</v>
      </c>
      <c r="R9" s="67" t="s">
        <v>6</v>
      </c>
      <c r="S9" s="68" t="s">
        <v>16</v>
      </c>
      <c r="T9" s="69" t="s">
        <v>17</v>
      </c>
    </row>
    <row r="10" spans="2:20" s="8" customFormat="1" ht="15" thickBot="1" x14ac:dyDescent="0.25">
      <c r="B10" s="70"/>
      <c r="C10" s="71"/>
      <c r="D10" s="72" t="str">
        <f>IFERROR(VLOOKUP(COCLEE[[#This Row],[Codice Articolo]],#REF!,2,),"")</f>
        <v/>
      </c>
      <c r="E10" s="72" t="str">
        <f>IFERROR(VLOOKUP(COCLEE[[#This Row],[Codice Articolo]],#REF!,3,),"")</f>
        <v/>
      </c>
      <c r="F10" s="72"/>
      <c r="G10" s="73" t="str">
        <f>IFERROR(VLOOKUP(COCLEE[[#This Row],[Codice Articolo]],#REF!,4,),"")</f>
        <v/>
      </c>
      <c r="H10" s="73" t="str">
        <f>IFERROR(COCLEE[[#This Row],[Q.tà]]*COCLEE[[#This Row],[Unitario]],"")</f>
        <v/>
      </c>
      <c r="I10" s="74">
        <v>0.4</v>
      </c>
      <c r="J10" s="75" t="str">
        <f>IFERROR(COCLEE[[#This Row],[Costo Totale]]+(COCLEE[[#This Row],[Costo Totale]]*COCLEE[[#This Row],[Ricarico]]),"")</f>
        <v/>
      </c>
      <c r="L10" s="77"/>
      <c r="M10" s="76"/>
      <c r="N10" s="101"/>
      <c r="O10" s="76"/>
      <c r="P10" s="76">
        <f>Tabella114[[#This Row],[N. Persone]]*Tabella114[[#This Row],[Q.tà (ORE)]]</f>
        <v>0</v>
      </c>
      <c r="Q10" s="102">
        <v>30</v>
      </c>
      <c r="R10" s="78">
        <f>Tabella114[[#This Row],[ORE TOTALI]]*Tabella114[[#This Row],[Unitario]]</f>
        <v>0</v>
      </c>
      <c r="S10" s="103">
        <v>0.5</v>
      </c>
      <c r="T10" s="104">
        <f>Tabella114[[#This Row],[Totale]]+(Tabella114[[#This Row],[Totale]]*Tabella114[[#This Row],[Ricarico]])</f>
        <v>0</v>
      </c>
    </row>
    <row r="11" spans="2:20" s="8" customFormat="1" ht="15" thickBot="1" x14ac:dyDescent="0.25">
      <c r="B11" s="27" t="s">
        <v>6</v>
      </c>
      <c r="C11" s="28"/>
      <c r="D11" s="29"/>
      <c r="E11" s="30"/>
      <c r="F11" s="30"/>
      <c r="G11" s="31"/>
      <c r="H11" s="18">
        <f>SUBTOTAL(109,COCLEE[Costo Totale])</f>
        <v>0</v>
      </c>
      <c r="I11" s="30"/>
      <c r="J11" s="18">
        <f>SUBTOTAL(109,COCLEE[Vendita])</f>
        <v>0</v>
      </c>
      <c r="L11" s="77"/>
      <c r="M11" s="76"/>
      <c r="N11" s="101"/>
      <c r="O11" s="76"/>
      <c r="P11" s="76">
        <f>Tabella114[[#This Row],[N. Persone]]*Tabella114[[#This Row],[Q.tà (ORE)]]</f>
        <v>0</v>
      </c>
      <c r="Q11" s="102">
        <v>30</v>
      </c>
      <c r="R11" s="78">
        <f>Tabella114[[#This Row],[ORE TOTALI]]*Tabella114[[#This Row],[Unitario]]</f>
        <v>0</v>
      </c>
      <c r="S11" s="103">
        <v>0.5</v>
      </c>
      <c r="T11" s="104">
        <f>Tabella114[[#This Row],[Totale]]+(Tabella114[[#This Row],[Totale]]*Tabella114[[#This Row],[Ricarico]])</f>
        <v>0</v>
      </c>
    </row>
    <row r="12" spans="2:20" s="8" customFormat="1" x14ac:dyDescent="0.25">
      <c r="B12" s="1"/>
      <c r="C12" s="1"/>
      <c r="D12" s="1"/>
      <c r="E12" s="2"/>
      <c r="F12" s="3"/>
      <c r="G12" s="1"/>
      <c r="H12" s="1"/>
      <c r="I12" s="1"/>
      <c r="J12" s="1"/>
      <c r="L12" s="77"/>
      <c r="M12" s="76"/>
      <c r="N12" s="101"/>
      <c r="O12" s="76"/>
      <c r="P12" s="76">
        <f>Tabella114[[#This Row],[N. Persone]]*Tabella114[[#This Row],[Q.tà (ORE)]]</f>
        <v>0</v>
      </c>
      <c r="Q12" s="102">
        <v>30</v>
      </c>
      <c r="R12" s="78">
        <f>Tabella114[[#This Row],[ORE TOTALI]]*Tabella114[[#This Row],[Unitario]]</f>
        <v>0</v>
      </c>
      <c r="S12" s="103">
        <v>0.5</v>
      </c>
      <c r="T12" s="104">
        <f>Tabella114[[#This Row],[Totale]]+(Tabella114[[#This Row],[Totale]]*Tabella114[[#This Row],[Ricarico]])</f>
        <v>0</v>
      </c>
    </row>
    <row r="13" spans="2:20" s="8" customFormat="1" x14ac:dyDescent="0.25">
      <c r="B13" s="1"/>
      <c r="C13" s="1"/>
      <c r="D13" s="1"/>
      <c r="E13" s="2"/>
      <c r="F13" s="3"/>
      <c r="G13" s="1"/>
      <c r="H13" s="1"/>
      <c r="I13" s="1"/>
      <c r="J13" s="1"/>
      <c r="L13" s="77"/>
      <c r="M13" s="76"/>
      <c r="N13" s="101"/>
      <c r="O13" s="76"/>
      <c r="P13" s="76">
        <f>Tabella114[[#This Row],[N. Persone]]*Tabella114[[#This Row],[Q.tà (ORE)]]</f>
        <v>0</v>
      </c>
      <c r="Q13" s="102">
        <v>30</v>
      </c>
      <c r="R13" s="78">
        <f>Tabella114[[#This Row],[ORE TOTALI]]*Tabella114[[#This Row],[Unitario]]</f>
        <v>0</v>
      </c>
      <c r="S13" s="103">
        <v>0.5</v>
      </c>
      <c r="T13" s="104">
        <f>Tabella114[[#This Row],[Totale]]+(Tabella114[[#This Row],[Totale]]*Tabella114[[#This Row],[Ricarico]])</f>
        <v>0</v>
      </c>
    </row>
    <row r="14" spans="2:20" s="8" customFormat="1" x14ac:dyDescent="0.25">
      <c r="B14" s="1"/>
      <c r="C14" s="1"/>
      <c r="D14" s="1"/>
      <c r="E14" s="2"/>
      <c r="F14" s="3"/>
      <c r="G14" s="1"/>
      <c r="H14" s="1"/>
      <c r="I14" s="1"/>
      <c r="J14" s="1"/>
      <c r="L14" s="77"/>
      <c r="M14" s="76"/>
      <c r="N14" s="101"/>
      <c r="O14" s="76"/>
      <c r="P14" s="76">
        <f>Tabella114[[#This Row],[N. Persone]]*Tabella114[[#This Row],[Q.tà (ORE)]]</f>
        <v>0</v>
      </c>
      <c r="Q14" s="102">
        <v>30</v>
      </c>
      <c r="R14" s="78">
        <f>Tabella114[[#This Row],[ORE TOTALI]]*Tabella114[[#This Row],[Unitario]]</f>
        <v>0</v>
      </c>
      <c r="S14" s="103">
        <v>0.5</v>
      </c>
      <c r="T14" s="104">
        <f>Tabella114[[#This Row],[Totale]]+(Tabella114[[#This Row],[Totale]]*Tabella114[[#This Row],[Ricarico]])</f>
        <v>0</v>
      </c>
    </row>
    <row r="15" spans="2:20" s="8" customFormat="1" x14ac:dyDescent="0.25">
      <c r="B15" s="1"/>
      <c r="C15" s="1"/>
      <c r="D15" s="1"/>
      <c r="E15" s="2"/>
      <c r="F15" s="3"/>
      <c r="G15" s="1"/>
      <c r="H15" s="1"/>
      <c r="I15" s="1"/>
      <c r="J15" s="1"/>
      <c r="L15" s="77"/>
      <c r="M15" s="76"/>
      <c r="N15" s="101"/>
      <c r="O15" s="76"/>
      <c r="P15" s="76">
        <f>Tabella114[[#This Row],[N. Persone]]*Tabella114[[#This Row],[Q.tà (ORE)]]</f>
        <v>0</v>
      </c>
      <c r="Q15" s="102">
        <v>30</v>
      </c>
      <c r="R15" s="78">
        <f>Tabella114[[#This Row],[ORE TOTALI]]*Tabella114[[#This Row],[Unitario]]</f>
        <v>0</v>
      </c>
      <c r="S15" s="103">
        <v>0.5</v>
      </c>
      <c r="T15" s="104">
        <f>Tabella114[[#This Row],[Totale]]+(Tabella114[[#This Row],[Totale]]*Tabella114[[#This Row],[Ricarico]])</f>
        <v>0</v>
      </c>
    </row>
    <row r="16" spans="2:20" s="8" customFormat="1" x14ac:dyDescent="0.25">
      <c r="B16" s="1"/>
      <c r="C16" s="1"/>
      <c r="D16" s="1"/>
      <c r="E16" s="2"/>
      <c r="F16" s="3"/>
      <c r="G16" s="1"/>
      <c r="H16" s="1"/>
      <c r="I16" s="1"/>
      <c r="J16" s="1"/>
      <c r="L16" s="77"/>
      <c r="M16" s="76"/>
      <c r="N16" s="101"/>
      <c r="O16" s="76"/>
      <c r="P16" s="76">
        <f>Tabella114[[#This Row],[N. Persone]]*Tabella114[[#This Row],[Q.tà (ORE)]]</f>
        <v>0</v>
      </c>
      <c r="Q16" s="102">
        <v>30</v>
      </c>
      <c r="R16" s="78">
        <f>Tabella114[[#This Row],[ORE TOTALI]]*Tabella114[[#This Row],[Unitario]]</f>
        <v>0</v>
      </c>
      <c r="S16" s="103">
        <v>0.5</v>
      </c>
      <c r="T16" s="104">
        <f>Tabella114[[#This Row],[Totale]]+(Tabella114[[#This Row],[Totale]]*Tabella114[[#This Row],[Ricarico]])</f>
        <v>0</v>
      </c>
    </row>
    <row r="17" spans="2:20" s="8" customFormat="1" x14ac:dyDescent="0.25">
      <c r="B17" s="1"/>
      <c r="C17" s="1"/>
      <c r="D17" s="1"/>
      <c r="E17" s="2"/>
      <c r="F17" s="3"/>
      <c r="G17" s="1"/>
      <c r="H17" s="1"/>
      <c r="I17" s="1"/>
      <c r="J17" s="1"/>
      <c r="L17" s="77"/>
      <c r="M17" s="76"/>
      <c r="N17" s="101"/>
      <c r="O17" s="76"/>
      <c r="P17" s="76">
        <f>Tabella114[[#This Row],[N. Persone]]*Tabella114[[#This Row],[Q.tà (ORE)]]</f>
        <v>0</v>
      </c>
      <c r="Q17" s="102">
        <v>30</v>
      </c>
      <c r="R17" s="78">
        <f>Tabella114[[#This Row],[ORE TOTALI]]*Tabella114[[#This Row],[Unitario]]</f>
        <v>0</v>
      </c>
      <c r="S17" s="103">
        <v>0.5</v>
      </c>
      <c r="T17" s="104">
        <f>Tabella114[[#This Row],[Totale]]+(Tabella114[[#This Row],[Totale]]*Tabella114[[#This Row],[Ricarico]])</f>
        <v>0</v>
      </c>
    </row>
    <row r="18" spans="2:20" s="8" customFormat="1" x14ac:dyDescent="0.25">
      <c r="B18" s="1"/>
      <c r="C18" s="1"/>
      <c r="D18" s="1"/>
      <c r="E18" s="2"/>
      <c r="F18" s="3"/>
      <c r="G18" s="1"/>
      <c r="H18" s="1"/>
      <c r="I18" s="1"/>
      <c r="J18" s="1"/>
      <c r="L18" s="77"/>
      <c r="M18" s="76"/>
      <c r="N18" s="101"/>
      <c r="O18" s="76"/>
      <c r="P18" s="76">
        <f>Tabella114[[#This Row],[N. Persone]]*Tabella114[[#This Row],[Q.tà (ORE)]]</f>
        <v>0</v>
      </c>
      <c r="Q18" s="102">
        <v>30</v>
      </c>
      <c r="R18" s="78">
        <f>Tabella114[[#This Row],[ORE TOTALI]]*Tabella114[[#This Row],[Unitario]]</f>
        <v>0</v>
      </c>
      <c r="S18" s="103">
        <v>0.5</v>
      </c>
      <c r="T18" s="104">
        <f>Tabella114[[#This Row],[Totale]]+(Tabella114[[#This Row],[Totale]]*Tabella114[[#This Row],[Ricarico]])</f>
        <v>0</v>
      </c>
    </row>
    <row r="19" spans="2:20" s="8" customFormat="1" x14ac:dyDescent="0.25">
      <c r="B19" s="1"/>
      <c r="C19" s="1"/>
      <c r="D19" s="1"/>
      <c r="E19" s="2"/>
      <c r="F19" s="3"/>
      <c r="G19" s="1"/>
      <c r="H19" s="1"/>
      <c r="I19" s="1"/>
      <c r="J19" s="1"/>
      <c r="L19" s="77"/>
      <c r="M19" s="76"/>
      <c r="N19" s="101"/>
      <c r="O19" s="76"/>
      <c r="P19" s="76">
        <f>Tabella114[[#This Row],[N. Persone]]*Tabella114[[#This Row],[Q.tà (ORE)]]</f>
        <v>0</v>
      </c>
      <c r="Q19" s="102">
        <v>30</v>
      </c>
      <c r="R19" s="78">
        <f>Tabella114[[#This Row],[ORE TOTALI]]*Tabella114[[#This Row],[Unitario]]</f>
        <v>0</v>
      </c>
      <c r="S19" s="103">
        <v>0.5</v>
      </c>
      <c r="T19" s="104">
        <f>Tabella114[[#This Row],[Totale]]+(Tabella114[[#This Row],[Totale]]*Tabella114[[#This Row],[Ricarico]])</f>
        <v>0</v>
      </c>
    </row>
    <row r="20" spans="2:20" s="8" customFormat="1" x14ac:dyDescent="0.25">
      <c r="B20" s="1"/>
      <c r="C20" s="1"/>
      <c r="D20" s="1"/>
      <c r="E20" s="2"/>
      <c r="F20" s="3"/>
      <c r="G20" s="1"/>
      <c r="H20" s="1"/>
      <c r="I20" s="1"/>
      <c r="J20" s="1"/>
      <c r="L20" s="77"/>
      <c r="M20" s="76"/>
      <c r="N20" s="101"/>
      <c r="O20" s="76"/>
      <c r="P20" s="76">
        <f>Tabella114[[#This Row],[N. Persone]]*Tabella114[[#This Row],[Q.tà (ORE)]]</f>
        <v>0</v>
      </c>
      <c r="Q20" s="102">
        <v>30</v>
      </c>
      <c r="R20" s="78">
        <f>Tabella114[[#This Row],[ORE TOTALI]]*Tabella114[[#This Row],[Unitario]]</f>
        <v>0</v>
      </c>
      <c r="S20" s="103">
        <v>0.5</v>
      </c>
      <c r="T20" s="104">
        <f>Tabella114[[#This Row],[Totale]]+(Tabella114[[#This Row],[Totale]]*Tabella114[[#This Row],[Ricarico]])</f>
        <v>0</v>
      </c>
    </row>
    <row r="21" spans="2:20" s="8" customFormat="1" x14ac:dyDescent="0.25">
      <c r="B21" s="1"/>
      <c r="C21" s="1"/>
      <c r="D21" s="1"/>
      <c r="E21" s="2"/>
      <c r="F21" s="3"/>
      <c r="G21" s="1"/>
      <c r="H21" s="1"/>
      <c r="I21" s="1"/>
      <c r="J21" s="1"/>
      <c r="L21" s="77"/>
      <c r="M21" s="76"/>
      <c r="N21" s="101"/>
      <c r="O21" s="76"/>
      <c r="P21" s="76">
        <f>Tabella114[[#This Row],[N. Persone]]*Tabella114[[#This Row],[Q.tà (ORE)]]</f>
        <v>0</v>
      </c>
      <c r="Q21" s="102">
        <v>30</v>
      </c>
      <c r="R21" s="78">
        <f>Tabella114[[#This Row],[ORE TOTALI]]*Tabella114[[#This Row],[Unitario]]</f>
        <v>0</v>
      </c>
      <c r="S21" s="103">
        <v>0.5</v>
      </c>
      <c r="T21" s="104">
        <f>Tabella114[[#This Row],[Totale]]+(Tabella114[[#This Row],[Totale]]*Tabella114[[#This Row],[Ricarico]])</f>
        <v>0</v>
      </c>
    </row>
    <row r="22" spans="2:20" s="8" customFormat="1" x14ac:dyDescent="0.25">
      <c r="B22" s="1"/>
      <c r="C22" s="1"/>
      <c r="D22" s="1"/>
      <c r="E22" s="2"/>
      <c r="F22" s="3"/>
      <c r="G22" s="1"/>
      <c r="H22" s="1"/>
      <c r="I22" s="1"/>
      <c r="J22" s="1"/>
      <c r="L22" s="77"/>
      <c r="M22" s="76"/>
      <c r="N22" s="101"/>
      <c r="O22" s="76"/>
      <c r="P22" s="76">
        <f>Tabella114[[#This Row],[N. Persone]]*Tabella114[[#This Row],[Q.tà (ORE)]]</f>
        <v>0</v>
      </c>
      <c r="Q22" s="102">
        <v>30</v>
      </c>
      <c r="R22" s="78">
        <f>Tabella114[[#This Row],[ORE TOTALI]]*Tabella114[[#This Row],[Unitario]]</f>
        <v>0</v>
      </c>
      <c r="S22" s="103">
        <v>0.5</v>
      </c>
      <c r="T22" s="104">
        <f>Tabella114[[#This Row],[Totale]]+(Tabella114[[#This Row],[Totale]]*Tabella114[[#This Row],[Ricarico]])</f>
        <v>0</v>
      </c>
    </row>
    <row r="23" spans="2:20" s="8" customFormat="1" x14ac:dyDescent="0.25">
      <c r="B23" s="1"/>
      <c r="C23" s="1"/>
      <c r="D23" s="1"/>
      <c r="E23" s="2"/>
      <c r="F23" s="3"/>
      <c r="G23" s="1"/>
      <c r="H23" s="1"/>
      <c r="I23" s="1"/>
      <c r="J23" s="1"/>
      <c r="L23" s="77"/>
      <c r="M23" s="76"/>
      <c r="N23" s="101"/>
      <c r="O23" s="76"/>
      <c r="P23" s="76">
        <f>Tabella114[[#This Row],[N. Persone]]*Tabella114[[#This Row],[Q.tà (ORE)]]</f>
        <v>0</v>
      </c>
      <c r="Q23" s="102">
        <v>30</v>
      </c>
      <c r="R23" s="78">
        <f>Tabella114[[#This Row],[ORE TOTALI]]*Tabella114[[#This Row],[Unitario]]</f>
        <v>0</v>
      </c>
      <c r="S23" s="103">
        <v>0.5</v>
      </c>
      <c r="T23" s="104">
        <f>Tabella114[[#This Row],[Totale]]+(Tabella114[[#This Row],[Totale]]*Tabella114[[#This Row],[Ricarico]])</f>
        <v>0</v>
      </c>
    </row>
    <row r="24" spans="2:20" s="8" customFormat="1" ht="15" thickBot="1" x14ac:dyDescent="0.3">
      <c r="B24" s="1"/>
      <c r="C24" s="1"/>
      <c r="D24" s="1"/>
      <c r="E24" s="2"/>
      <c r="F24" s="3"/>
      <c r="G24" s="1"/>
      <c r="H24" s="1"/>
      <c r="I24" s="1"/>
      <c r="J24" s="1"/>
      <c r="L24" s="79"/>
      <c r="M24" s="80"/>
      <c r="N24" s="80"/>
      <c r="O24" s="100"/>
      <c r="P24" s="76">
        <f>Tabella114[[#This Row],[N. Persone]]*Tabella114[[#This Row],[Q.tà (ORE)]]</f>
        <v>0</v>
      </c>
      <c r="Q24" s="102">
        <v>30</v>
      </c>
      <c r="R24" s="78">
        <f>Tabella114[[#This Row],[ORE TOTALI]]*Tabella114[[#This Row],[Unitario]]</f>
        <v>0</v>
      </c>
      <c r="S24" s="103">
        <v>0.5</v>
      </c>
      <c r="T24" s="104">
        <f>Tabella114[[#This Row],[Totale]]+(Tabella114[[#This Row],[Totale]]*Tabella114[[#This Row],[Ricarico]])</f>
        <v>0</v>
      </c>
    </row>
    <row r="25" spans="2:20" s="8" customFormat="1" ht="15" thickBot="1" x14ac:dyDescent="0.3">
      <c r="B25" s="1"/>
      <c r="C25" s="1"/>
      <c r="D25" s="1"/>
      <c r="E25" s="2"/>
      <c r="F25" s="3"/>
      <c r="G25" s="1"/>
      <c r="H25" s="1"/>
      <c r="I25" s="1"/>
      <c r="J25" s="1"/>
      <c r="L25" s="81" t="s">
        <v>6</v>
      </c>
      <c r="M25" s="82"/>
      <c r="N25" s="83"/>
      <c r="O25" s="84"/>
      <c r="P25" s="84">
        <f>SUBTOTAL(109,Tabella114[ORE TOTALI])</f>
        <v>0</v>
      </c>
      <c r="Q25" s="85"/>
      <c r="R25" s="86">
        <f>SUBTOTAL(109,Tabella114[Totale])</f>
        <v>0</v>
      </c>
      <c r="S25" s="85"/>
      <c r="T25" s="86">
        <f>SUBTOTAL(109,Tabella114[Vendita])</f>
        <v>0</v>
      </c>
    </row>
    <row r="26" spans="2:20" s="8" customFormat="1" x14ac:dyDescent="0.25">
      <c r="B26" s="1"/>
      <c r="C26" s="1"/>
      <c r="D26" s="1"/>
      <c r="E26" s="2"/>
      <c r="F26" s="3"/>
      <c r="G26" s="1"/>
      <c r="H26" s="1"/>
      <c r="I26" s="1"/>
      <c r="J26" s="1"/>
    </row>
    <row r="27" spans="2:20" s="8" customFormat="1" ht="13.15" customHeight="1" x14ac:dyDescent="0.25">
      <c r="B27" s="1"/>
      <c r="C27" s="1"/>
      <c r="D27" s="1"/>
      <c r="E27" s="2"/>
      <c r="F27" s="3"/>
      <c r="G27" s="1"/>
      <c r="H27" s="1"/>
      <c r="I27" s="1"/>
      <c r="J27" s="1"/>
    </row>
    <row r="28" spans="2:20" s="8" customFormat="1" ht="15.75" customHeight="1" x14ac:dyDescent="0.25">
      <c r="B28" s="1"/>
      <c r="C28" s="1"/>
      <c r="D28" s="1"/>
      <c r="E28" s="2"/>
      <c r="F28" s="3"/>
      <c r="G28" s="1"/>
      <c r="H28" s="1"/>
      <c r="I28" s="1"/>
      <c r="J28" s="1"/>
    </row>
    <row r="29" spans="2:20" s="8" customFormat="1" x14ac:dyDescent="0.25">
      <c r="B29" s="1"/>
      <c r="C29" s="1"/>
      <c r="D29" s="1"/>
      <c r="E29" s="2"/>
      <c r="F29" s="3"/>
      <c r="G29" s="1"/>
      <c r="H29" s="1"/>
      <c r="I29" s="1"/>
      <c r="J29" s="1"/>
    </row>
    <row r="30" spans="2:20" s="8" customFormat="1" x14ac:dyDescent="0.25">
      <c r="B30" s="1"/>
      <c r="C30" s="1"/>
      <c r="D30" s="1"/>
      <c r="E30" s="2"/>
      <c r="F30" s="3"/>
      <c r="G30" s="1"/>
      <c r="H30" s="1"/>
      <c r="I30" s="1"/>
      <c r="J30" s="1"/>
    </row>
    <row r="31" spans="2:20" s="8" customFormat="1" x14ac:dyDescent="0.25">
      <c r="B31" s="1"/>
      <c r="C31" s="1"/>
      <c r="D31" s="1"/>
      <c r="E31" s="2"/>
      <c r="F31" s="3"/>
      <c r="G31" s="1"/>
      <c r="H31" s="1"/>
      <c r="I31" s="1"/>
      <c r="J31" s="1"/>
    </row>
    <row r="32" spans="2:20" s="8" customFormat="1" x14ac:dyDescent="0.25">
      <c r="B32" s="1"/>
      <c r="C32" s="1"/>
      <c r="D32" s="1"/>
      <c r="E32" s="2"/>
      <c r="F32" s="3"/>
      <c r="G32" s="1"/>
      <c r="H32" s="1"/>
      <c r="I32" s="1"/>
      <c r="J32" s="1"/>
    </row>
    <row r="33" spans="2:10" s="8" customFormat="1" x14ac:dyDescent="0.25">
      <c r="B33" s="1"/>
      <c r="C33" s="1"/>
      <c r="D33" s="1"/>
      <c r="E33" s="2"/>
      <c r="F33" s="3"/>
      <c r="G33" s="1"/>
      <c r="H33" s="1"/>
      <c r="I33" s="1"/>
      <c r="J33" s="1"/>
    </row>
    <row r="34" spans="2:10" s="8" customFormat="1" x14ac:dyDescent="0.25">
      <c r="B34" s="1"/>
      <c r="C34" s="1"/>
      <c r="D34" s="1"/>
      <c r="E34" s="2"/>
      <c r="F34" s="3"/>
      <c r="G34" s="1"/>
      <c r="H34" s="1"/>
      <c r="I34" s="1"/>
      <c r="J34" s="1"/>
    </row>
    <row r="35" spans="2:10" s="8" customFormat="1" x14ac:dyDescent="0.25">
      <c r="B35" s="1"/>
      <c r="C35" s="1"/>
      <c r="D35" s="1"/>
      <c r="E35" s="2"/>
      <c r="F35" s="3"/>
      <c r="G35" s="1"/>
      <c r="H35" s="1"/>
      <c r="I35" s="1"/>
      <c r="J35" s="1"/>
    </row>
    <row r="36" spans="2:10" s="8" customFormat="1" x14ac:dyDescent="0.25">
      <c r="B36" s="1"/>
      <c r="C36" s="1"/>
      <c r="D36" s="1"/>
      <c r="E36" s="2"/>
      <c r="F36" s="3"/>
      <c r="G36" s="1"/>
      <c r="H36" s="1"/>
      <c r="I36" s="1"/>
      <c r="J36" s="1"/>
    </row>
    <row r="37" spans="2:10" s="8" customFormat="1" x14ac:dyDescent="0.25">
      <c r="B37" s="1"/>
      <c r="C37" s="1"/>
      <c r="D37" s="1"/>
      <c r="E37" s="2"/>
      <c r="F37" s="3"/>
      <c r="G37" s="1"/>
      <c r="H37" s="1"/>
      <c r="I37" s="1"/>
      <c r="J37" s="1"/>
    </row>
    <row r="38" spans="2:10" s="8" customFormat="1" x14ac:dyDescent="0.25">
      <c r="B38" s="1"/>
      <c r="C38" s="1"/>
      <c r="D38" s="1"/>
      <c r="E38" s="2"/>
      <c r="F38" s="3"/>
      <c r="G38" s="1"/>
      <c r="H38" s="1"/>
      <c r="I38" s="1"/>
      <c r="J38" s="1"/>
    </row>
    <row r="39" spans="2:10" s="8" customFormat="1" x14ac:dyDescent="0.25">
      <c r="B39" s="1"/>
      <c r="C39" s="1"/>
      <c r="D39" s="1"/>
      <c r="E39" s="2"/>
      <c r="F39" s="3"/>
      <c r="G39" s="1"/>
      <c r="H39" s="1"/>
      <c r="I39" s="1"/>
      <c r="J39" s="1"/>
    </row>
    <row r="40" spans="2:10" s="8" customFormat="1" x14ac:dyDescent="0.25">
      <c r="B40" s="1"/>
      <c r="C40" s="1"/>
      <c r="D40" s="1"/>
      <c r="E40" s="2"/>
      <c r="F40" s="3"/>
      <c r="G40" s="1"/>
      <c r="H40" s="1"/>
      <c r="I40" s="1"/>
      <c r="J40" s="1"/>
    </row>
    <row r="41" spans="2:10" s="8" customFormat="1" x14ac:dyDescent="0.25">
      <c r="B41" s="1"/>
      <c r="C41" s="1"/>
      <c r="D41" s="1"/>
      <c r="E41" s="2"/>
      <c r="F41" s="3"/>
      <c r="G41" s="1"/>
      <c r="H41" s="1"/>
      <c r="I41" s="1"/>
      <c r="J41" s="1"/>
    </row>
    <row r="42" spans="2:10" s="8" customFormat="1" x14ac:dyDescent="0.25">
      <c r="B42" s="1"/>
      <c r="C42" s="1"/>
      <c r="D42" s="1"/>
      <c r="E42" s="2"/>
      <c r="F42" s="3"/>
      <c r="G42" s="1"/>
      <c r="H42" s="1"/>
      <c r="I42" s="1"/>
      <c r="J42" s="1"/>
    </row>
    <row r="43" spans="2:10" s="8" customFormat="1" x14ac:dyDescent="0.25">
      <c r="B43" s="1"/>
      <c r="C43" s="1"/>
      <c r="D43" s="1"/>
      <c r="E43" s="2"/>
      <c r="F43" s="3"/>
      <c r="G43" s="1"/>
      <c r="H43" s="1"/>
      <c r="I43" s="1"/>
      <c r="J43" s="1"/>
    </row>
    <row r="44" spans="2:10" s="8" customFormat="1" x14ac:dyDescent="0.25">
      <c r="B44" s="1"/>
      <c r="C44" s="1"/>
      <c r="D44" s="1"/>
      <c r="E44" s="2"/>
      <c r="F44" s="3"/>
      <c r="G44" s="1"/>
      <c r="H44" s="1"/>
      <c r="I44" s="1"/>
      <c r="J44" s="1"/>
    </row>
    <row r="45" spans="2:10" s="8" customFormat="1" x14ac:dyDescent="0.25">
      <c r="B45" s="1"/>
      <c r="C45" s="1"/>
      <c r="D45" s="1"/>
      <c r="E45" s="2"/>
      <c r="F45" s="3"/>
      <c r="G45" s="1"/>
      <c r="H45" s="1"/>
      <c r="I45" s="1"/>
      <c r="J45" s="1"/>
    </row>
    <row r="46" spans="2:10" s="8" customFormat="1" x14ac:dyDescent="0.25">
      <c r="B46" s="1"/>
      <c r="C46" s="1"/>
      <c r="D46" s="1"/>
      <c r="E46" s="2"/>
      <c r="F46" s="3"/>
      <c r="G46" s="1"/>
      <c r="H46" s="1"/>
      <c r="I46" s="1"/>
      <c r="J46" s="1"/>
    </row>
    <row r="47" spans="2:10" s="8" customFormat="1" x14ac:dyDescent="0.25">
      <c r="B47" s="1"/>
      <c r="C47" s="1"/>
      <c r="D47" s="1"/>
      <c r="E47" s="2"/>
      <c r="F47" s="3"/>
      <c r="G47" s="1"/>
      <c r="H47" s="1"/>
      <c r="I47" s="1"/>
      <c r="J47" s="1"/>
    </row>
    <row r="48" spans="2:10" s="8" customFormat="1" x14ac:dyDescent="0.25">
      <c r="B48" s="1"/>
      <c r="C48" s="1"/>
      <c r="D48" s="1"/>
      <c r="E48" s="2"/>
      <c r="F48" s="3"/>
      <c r="G48" s="1"/>
      <c r="H48" s="1"/>
      <c r="I48" s="1"/>
      <c r="J48" s="1"/>
    </row>
    <row r="49" spans="2:10" s="8" customFormat="1" x14ac:dyDescent="0.25">
      <c r="B49" s="1"/>
      <c r="C49" s="1"/>
      <c r="D49" s="1"/>
      <c r="E49" s="2"/>
      <c r="F49" s="3"/>
      <c r="G49" s="1"/>
      <c r="H49" s="1"/>
      <c r="I49" s="1"/>
      <c r="J49" s="1"/>
    </row>
    <row r="50" spans="2:10" s="8" customFormat="1" x14ac:dyDescent="0.25">
      <c r="B50" s="1"/>
      <c r="C50" s="1"/>
      <c r="D50" s="1"/>
      <c r="E50" s="2"/>
      <c r="F50" s="3"/>
      <c r="G50" s="1"/>
      <c r="H50" s="1"/>
      <c r="I50" s="1"/>
      <c r="J50" s="1"/>
    </row>
    <row r="51" spans="2:10" s="8" customFormat="1" x14ac:dyDescent="0.25">
      <c r="B51" s="1"/>
      <c r="C51" s="1"/>
      <c r="D51" s="1"/>
      <c r="E51" s="2"/>
      <c r="F51" s="3"/>
      <c r="G51" s="1"/>
      <c r="H51" s="1"/>
      <c r="I51" s="1"/>
      <c r="J51" s="1"/>
    </row>
    <row r="52" spans="2:10" s="8" customFormat="1" x14ac:dyDescent="0.25">
      <c r="B52" s="1"/>
      <c r="C52" s="1"/>
      <c r="D52" s="1"/>
      <c r="E52" s="2"/>
      <c r="F52" s="3"/>
      <c r="G52" s="1"/>
      <c r="H52" s="1"/>
      <c r="I52" s="1"/>
      <c r="J52" s="1"/>
    </row>
    <row r="53" spans="2:10" s="8" customFormat="1" x14ac:dyDescent="0.25">
      <c r="B53" s="1"/>
      <c r="C53" s="1"/>
      <c r="D53" s="1"/>
      <c r="E53" s="2"/>
      <c r="F53" s="3"/>
      <c r="G53" s="1"/>
      <c r="H53" s="1"/>
      <c r="I53" s="1"/>
      <c r="J53" s="1"/>
    </row>
    <row r="54" spans="2:10" s="8" customFormat="1" x14ac:dyDescent="0.25">
      <c r="B54" s="1"/>
      <c r="C54" s="1"/>
      <c r="D54" s="1"/>
      <c r="E54" s="2"/>
      <c r="F54" s="3"/>
      <c r="G54" s="1"/>
      <c r="H54" s="1"/>
      <c r="I54" s="1"/>
      <c r="J54" s="1"/>
    </row>
    <row r="55" spans="2:10" s="8" customFormat="1" x14ac:dyDescent="0.25">
      <c r="B55" s="1"/>
      <c r="C55" s="1"/>
      <c r="D55" s="1"/>
      <c r="E55" s="2"/>
      <c r="F55" s="3"/>
      <c r="G55" s="1"/>
      <c r="H55" s="1"/>
      <c r="I55" s="1"/>
      <c r="J55" s="1"/>
    </row>
    <row r="56" spans="2:10" s="8" customFormat="1" x14ac:dyDescent="0.25">
      <c r="B56" s="1"/>
      <c r="C56" s="1"/>
      <c r="D56" s="1"/>
      <c r="E56" s="2"/>
      <c r="F56" s="3"/>
      <c r="G56" s="1"/>
      <c r="H56" s="1"/>
      <c r="I56" s="1"/>
      <c r="J56" s="1"/>
    </row>
    <row r="57" spans="2:10" s="8" customFormat="1" x14ac:dyDescent="0.25">
      <c r="B57" s="1"/>
      <c r="C57" s="1"/>
      <c r="D57" s="1"/>
      <c r="E57" s="2"/>
      <c r="F57" s="3"/>
      <c r="G57" s="1"/>
      <c r="H57" s="1"/>
      <c r="I57" s="1"/>
      <c r="J57" s="1"/>
    </row>
    <row r="58" spans="2:10" s="8" customFormat="1" x14ac:dyDescent="0.25">
      <c r="B58" s="1"/>
      <c r="C58" s="1"/>
      <c r="D58" s="1"/>
      <c r="E58" s="2"/>
      <c r="F58" s="3"/>
      <c r="G58" s="1"/>
      <c r="H58" s="1"/>
      <c r="I58" s="1"/>
      <c r="J58" s="1"/>
    </row>
    <row r="59" spans="2:10" s="8" customFormat="1" x14ac:dyDescent="0.25">
      <c r="B59" s="1"/>
      <c r="C59" s="1"/>
      <c r="D59" s="1"/>
      <c r="E59" s="2"/>
      <c r="F59" s="3"/>
      <c r="G59" s="1"/>
      <c r="H59" s="1"/>
      <c r="I59" s="1"/>
      <c r="J59" s="1"/>
    </row>
    <row r="60" spans="2:10" s="8" customFormat="1" x14ac:dyDescent="0.25">
      <c r="B60" s="1"/>
      <c r="C60" s="1"/>
      <c r="D60" s="1"/>
      <c r="E60" s="2"/>
      <c r="F60" s="3"/>
      <c r="G60" s="1"/>
      <c r="H60" s="1"/>
      <c r="I60" s="1"/>
      <c r="J60" s="1"/>
    </row>
    <row r="61" spans="2:10" s="8" customFormat="1" x14ac:dyDescent="0.25">
      <c r="B61" s="1"/>
      <c r="C61" s="1"/>
      <c r="D61" s="1"/>
      <c r="E61" s="2"/>
      <c r="F61" s="3"/>
      <c r="G61" s="1"/>
      <c r="H61" s="1"/>
      <c r="I61" s="1"/>
      <c r="J61" s="1"/>
    </row>
    <row r="62" spans="2:10" s="8" customFormat="1" x14ac:dyDescent="0.25">
      <c r="B62" s="1"/>
      <c r="C62" s="1"/>
      <c r="D62" s="1"/>
      <c r="E62" s="2"/>
      <c r="F62" s="3"/>
      <c r="G62" s="1"/>
      <c r="H62" s="1"/>
      <c r="I62" s="1"/>
      <c r="J62" s="1"/>
    </row>
    <row r="63" spans="2:10" s="8" customFormat="1" x14ac:dyDescent="0.25">
      <c r="B63" s="1"/>
      <c r="C63" s="1"/>
      <c r="D63" s="1"/>
      <c r="E63" s="2"/>
      <c r="F63" s="3"/>
      <c r="G63" s="1"/>
      <c r="H63" s="1"/>
      <c r="I63" s="1"/>
      <c r="J63" s="1"/>
    </row>
    <row r="64" spans="2:10" s="8" customFormat="1" x14ac:dyDescent="0.25">
      <c r="B64" s="1"/>
      <c r="C64" s="1"/>
      <c r="D64" s="1"/>
      <c r="E64" s="2"/>
      <c r="F64" s="3"/>
      <c r="G64" s="1"/>
      <c r="H64" s="1"/>
      <c r="I64" s="1"/>
      <c r="J64" s="1"/>
    </row>
    <row r="65" spans="2:10" s="8" customFormat="1" x14ac:dyDescent="0.25">
      <c r="B65" s="1"/>
      <c r="C65" s="1"/>
      <c r="D65" s="1"/>
      <c r="E65" s="2"/>
      <c r="F65" s="3"/>
      <c r="G65" s="1"/>
      <c r="H65" s="1"/>
      <c r="I65" s="1"/>
      <c r="J65" s="1"/>
    </row>
    <row r="66" spans="2:10" s="8" customFormat="1" x14ac:dyDescent="0.25">
      <c r="B66" s="1"/>
      <c r="C66" s="1"/>
      <c r="D66" s="1"/>
      <c r="E66" s="2"/>
      <c r="F66" s="3"/>
      <c r="G66" s="1"/>
      <c r="H66" s="1"/>
      <c r="I66" s="1"/>
      <c r="J66" s="1"/>
    </row>
    <row r="67" spans="2:10" s="8" customFormat="1" x14ac:dyDescent="0.25">
      <c r="B67" s="1"/>
      <c r="C67" s="1"/>
      <c r="D67" s="1"/>
      <c r="E67" s="2"/>
      <c r="F67" s="3"/>
      <c r="G67" s="1"/>
      <c r="H67" s="1"/>
      <c r="I67" s="1"/>
      <c r="J67" s="1"/>
    </row>
    <row r="68" spans="2:10" s="8" customFormat="1" x14ac:dyDescent="0.25">
      <c r="B68" s="1"/>
      <c r="C68" s="1"/>
      <c r="D68" s="1"/>
      <c r="E68" s="2"/>
      <c r="F68" s="3"/>
      <c r="G68" s="1"/>
      <c r="H68" s="1"/>
      <c r="I68" s="1"/>
      <c r="J68" s="1"/>
    </row>
    <row r="69" spans="2:10" s="8" customFormat="1" x14ac:dyDescent="0.25">
      <c r="B69" s="1"/>
      <c r="C69" s="1"/>
      <c r="D69" s="1"/>
      <c r="E69" s="2"/>
      <c r="F69" s="3"/>
      <c r="G69" s="1"/>
      <c r="H69" s="1"/>
      <c r="I69" s="1"/>
      <c r="J69" s="1"/>
    </row>
    <row r="70" spans="2:10" s="8" customFormat="1" x14ac:dyDescent="0.25">
      <c r="B70" s="1"/>
      <c r="C70" s="1"/>
      <c r="D70" s="1"/>
      <c r="E70" s="2"/>
      <c r="F70" s="3"/>
      <c r="G70" s="1"/>
      <c r="H70" s="1"/>
      <c r="I70" s="1"/>
      <c r="J70" s="1"/>
    </row>
    <row r="71" spans="2:10" s="8" customFormat="1" x14ac:dyDescent="0.25">
      <c r="B71" s="1"/>
      <c r="C71" s="1"/>
      <c r="D71" s="1"/>
      <c r="E71" s="2"/>
      <c r="F71" s="3"/>
      <c r="G71" s="1"/>
      <c r="H71" s="1"/>
      <c r="I71" s="1"/>
      <c r="J71" s="1"/>
    </row>
    <row r="72" spans="2:10" s="8" customFormat="1" x14ac:dyDescent="0.25">
      <c r="B72" s="1"/>
      <c r="C72" s="1"/>
      <c r="D72" s="1"/>
      <c r="E72" s="2"/>
      <c r="F72" s="3"/>
      <c r="G72" s="1"/>
      <c r="H72" s="1"/>
      <c r="I72" s="1"/>
      <c r="J72" s="1"/>
    </row>
    <row r="73" spans="2:10" s="8" customFormat="1" x14ac:dyDescent="0.25">
      <c r="B73" s="1"/>
      <c r="C73" s="1"/>
      <c r="D73" s="1"/>
      <c r="E73" s="2"/>
      <c r="F73" s="3"/>
      <c r="G73" s="1"/>
      <c r="H73" s="1"/>
      <c r="I73" s="1"/>
      <c r="J73" s="1"/>
    </row>
    <row r="74" spans="2:10" s="8" customFormat="1" x14ac:dyDescent="0.25">
      <c r="B74" s="1"/>
      <c r="C74" s="1"/>
      <c r="D74" s="1"/>
      <c r="E74" s="2"/>
      <c r="F74" s="3"/>
      <c r="G74" s="1"/>
      <c r="H74" s="1"/>
      <c r="I74" s="1"/>
      <c r="J74" s="1"/>
    </row>
    <row r="75" spans="2:10" s="8" customFormat="1" x14ac:dyDescent="0.25">
      <c r="B75" s="1"/>
      <c r="C75" s="1"/>
      <c r="D75" s="1"/>
      <c r="E75" s="2"/>
      <c r="F75" s="3"/>
      <c r="G75" s="1"/>
      <c r="H75" s="1"/>
      <c r="I75" s="1"/>
      <c r="J75" s="1"/>
    </row>
    <row r="76" spans="2:10" s="8" customFormat="1" x14ac:dyDescent="0.25">
      <c r="B76" s="1"/>
      <c r="C76" s="1"/>
      <c r="D76" s="1"/>
      <c r="E76" s="2"/>
      <c r="F76" s="3"/>
      <c r="G76" s="1"/>
      <c r="H76" s="1"/>
      <c r="I76" s="1"/>
      <c r="J76" s="1"/>
    </row>
    <row r="77" spans="2:10" s="8" customFormat="1" x14ac:dyDescent="0.25">
      <c r="B77" s="1"/>
      <c r="C77" s="1"/>
      <c r="D77" s="1"/>
      <c r="E77" s="2"/>
      <c r="F77" s="3"/>
      <c r="G77" s="1"/>
      <c r="H77" s="1"/>
      <c r="I77" s="1"/>
      <c r="J77" s="1"/>
    </row>
    <row r="78" spans="2:10" s="8" customFormat="1" x14ac:dyDescent="0.25">
      <c r="B78" s="1"/>
      <c r="C78" s="1"/>
      <c r="D78" s="1"/>
      <c r="E78" s="2"/>
      <c r="F78" s="3"/>
      <c r="G78" s="1"/>
      <c r="H78" s="1"/>
      <c r="I78" s="1"/>
      <c r="J78" s="1"/>
    </row>
    <row r="79" spans="2:10" s="8" customFormat="1" x14ac:dyDescent="0.25">
      <c r="B79" s="1"/>
      <c r="C79" s="1"/>
      <c r="D79" s="1"/>
      <c r="E79" s="2"/>
      <c r="F79" s="3"/>
      <c r="G79" s="1"/>
      <c r="H79" s="1"/>
      <c r="I79" s="1"/>
      <c r="J79" s="1"/>
    </row>
    <row r="80" spans="2:10" s="8" customFormat="1" x14ac:dyDescent="0.25">
      <c r="B80" s="1"/>
      <c r="C80" s="1"/>
      <c r="D80" s="1"/>
      <c r="E80" s="2"/>
      <c r="F80" s="3"/>
      <c r="G80" s="1"/>
      <c r="H80" s="1"/>
      <c r="I80" s="1"/>
      <c r="J80" s="1"/>
    </row>
    <row r="81" spans="2:10" s="8" customFormat="1" x14ac:dyDescent="0.25">
      <c r="B81" s="1"/>
      <c r="C81" s="1"/>
      <c r="D81" s="1"/>
      <c r="E81" s="2"/>
      <c r="F81" s="3"/>
      <c r="G81" s="1"/>
      <c r="H81" s="1"/>
      <c r="I81" s="1"/>
      <c r="J81" s="1"/>
    </row>
    <row r="82" spans="2:10" s="8" customFormat="1" x14ac:dyDescent="0.25">
      <c r="B82" s="1"/>
      <c r="C82" s="1"/>
      <c r="D82" s="1"/>
      <c r="E82" s="2"/>
      <c r="F82" s="3"/>
      <c r="G82" s="1"/>
      <c r="H82" s="1"/>
      <c r="I82" s="1"/>
      <c r="J82" s="1"/>
    </row>
    <row r="83" spans="2:10" s="8" customFormat="1" x14ac:dyDescent="0.25">
      <c r="B83" s="1"/>
      <c r="C83" s="1"/>
      <c r="D83" s="1"/>
      <c r="E83" s="2"/>
      <c r="F83" s="3"/>
      <c r="G83" s="1"/>
      <c r="H83" s="1"/>
      <c r="I83" s="1"/>
      <c r="J83" s="1"/>
    </row>
    <row r="84" spans="2:10" s="8" customFormat="1" x14ac:dyDescent="0.25">
      <c r="B84" s="1"/>
      <c r="C84" s="1"/>
      <c r="D84" s="1"/>
      <c r="E84" s="2"/>
      <c r="F84" s="3"/>
      <c r="G84" s="1"/>
      <c r="H84" s="1"/>
      <c r="I84" s="1"/>
      <c r="J84" s="1"/>
    </row>
    <row r="85" spans="2:10" s="8" customFormat="1" x14ac:dyDescent="0.25">
      <c r="B85" s="1"/>
      <c r="C85" s="1"/>
      <c r="D85" s="1"/>
      <c r="E85" s="2"/>
      <c r="F85" s="3"/>
      <c r="G85" s="1"/>
      <c r="H85" s="1"/>
      <c r="I85" s="1"/>
      <c r="J85" s="1"/>
    </row>
    <row r="86" spans="2:10" s="8" customFormat="1" x14ac:dyDescent="0.25">
      <c r="B86" s="1"/>
      <c r="C86" s="1"/>
      <c r="D86" s="1"/>
      <c r="E86" s="2"/>
      <c r="F86" s="3"/>
      <c r="G86" s="1"/>
      <c r="H86" s="1"/>
      <c r="I86" s="1"/>
      <c r="J86" s="1"/>
    </row>
    <row r="87" spans="2:10" s="8" customFormat="1" x14ac:dyDescent="0.25">
      <c r="B87" s="1"/>
      <c r="C87" s="1"/>
      <c r="D87" s="1"/>
      <c r="E87" s="2"/>
      <c r="F87" s="3"/>
      <c r="G87" s="1"/>
      <c r="H87" s="1"/>
      <c r="I87" s="1"/>
      <c r="J87" s="1"/>
    </row>
    <row r="88" spans="2:10" s="8" customFormat="1" x14ac:dyDescent="0.25">
      <c r="B88" s="1"/>
      <c r="C88" s="1"/>
      <c r="D88" s="1"/>
      <c r="E88" s="2"/>
      <c r="F88" s="3"/>
      <c r="G88" s="1"/>
      <c r="H88" s="1"/>
      <c r="I88" s="1"/>
      <c r="J88" s="1"/>
    </row>
    <row r="89" spans="2:10" s="8" customFormat="1" x14ac:dyDescent="0.25">
      <c r="B89" s="1"/>
      <c r="C89" s="1"/>
      <c r="D89" s="1"/>
      <c r="E89" s="2"/>
      <c r="F89" s="3"/>
      <c r="G89" s="1"/>
      <c r="H89" s="1"/>
      <c r="I89" s="1"/>
      <c r="J89" s="1"/>
    </row>
    <row r="90" spans="2:10" s="8" customFormat="1" x14ac:dyDescent="0.25">
      <c r="B90" s="1"/>
      <c r="C90" s="1"/>
      <c r="D90" s="1"/>
      <c r="E90" s="2"/>
      <c r="F90" s="3"/>
      <c r="G90" s="1"/>
      <c r="H90" s="1"/>
      <c r="I90" s="1"/>
      <c r="J90" s="1"/>
    </row>
    <row r="91" spans="2:10" s="8" customFormat="1" x14ac:dyDescent="0.25">
      <c r="B91" s="1"/>
      <c r="C91" s="1"/>
      <c r="D91" s="1"/>
      <c r="E91" s="2"/>
      <c r="F91" s="3"/>
      <c r="G91" s="1"/>
      <c r="H91" s="1"/>
      <c r="I91" s="1"/>
      <c r="J91" s="1"/>
    </row>
    <row r="92" spans="2:10" s="8" customFormat="1" x14ac:dyDescent="0.25">
      <c r="B92" s="1"/>
      <c r="C92" s="1"/>
      <c r="D92" s="1"/>
      <c r="E92" s="2"/>
      <c r="F92" s="3"/>
      <c r="G92" s="1"/>
      <c r="H92" s="1"/>
      <c r="I92" s="1"/>
      <c r="J92" s="1"/>
    </row>
    <row r="93" spans="2:10" s="8" customFormat="1" x14ac:dyDescent="0.25">
      <c r="B93" s="1"/>
      <c r="C93" s="1"/>
      <c r="D93" s="1"/>
      <c r="E93" s="2"/>
      <c r="F93" s="3"/>
      <c r="G93" s="1"/>
      <c r="H93" s="1"/>
      <c r="I93" s="1"/>
      <c r="J93" s="1"/>
    </row>
    <row r="94" spans="2:10" s="8" customFormat="1" x14ac:dyDescent="0.25">
      <c r="B94" s="1"/>
      <c r="C94" s="1"/>
      <c r="D94" s="1"/>
      <c r="E94" s="2"/>
      <c r="F94" s="3"/>
      <c r="G94" s="1"/>
      <c r="H94" s="1"/>
      <c r="I94" s="1"/>
      <c r="J94" s="1"/>
    </row>
    <row r="95" spans="2:10" s="8" customFormat="1" x14ac:dyDescent="0.25">
      <c r="B95" s="1"/>
      <c r="C95" s="1"/>
      <c r="D95" s="1"/>
      <c r="E95" s="2"/>
      <c r="F95" s="3"/>
      <c r="G95" s="1"/>
      <c r="H95" s="1"/>
      <c r="I95" s="1"/>
      <c r="J95" s="1"/>
    </row>
    <row r="96" spans="2:10" s="8" customFormat="1" x14ac:dyDescent="0.25">
      <c r="B96" s="1"/>
      <c r="C96" s="1"/>
      <c r="D96" s="1"/>
      <c r="E96" s="2"/>
      <c r="F96" s="3"/>
      <c r="G96" s="1"/>
      <c r="H96" s="1"/>
      <c r="I96" s="1"/>
      <c r="J96" s="1"/>
    </row>
    <row r="97" spans="2:10" s="8" customFormat="1" x14ac:dyDescent="0.25">
      <c r="B97" s="1"/>
      <c r="C97" s="1"/>
      <c r="D97" s="1"/>
      <c r="E97" s="2"/>
      <c r="F97" s="3"/>
      <c r="G97" s="1"/>
      <c r="H97" s="1"/>
      <c r="I97" s="1"/>
      <c r="J97" s="1"/>
    </row>
    <row r="98" spans="2:10" s="8" customFormat="1" x14ac:dyDescent="0.25">
      <c r="B98" s="1"/>
      <c r="C98" s="1"/>
      <c r="D98" s="1"/>
      <c r="E98" s="2"/>
      <c r="F98" s="3"/>
      <c r="G98" s="1"/>
      <c r="H98" s="1"/>
      <c r="I98" s="1"/>
      <c r="J98" s="1"/>
    </row>
    <row r="99" spans="2:10" s="8" customFormat="1" x14ac:dyDescent="0.25">
      <c r="B99" s="1"/>
      <c r="C99" s="1"/>
      <c r="D99" s="1"/>
      <c r="E99" s="2"/>
      <c r="F99" s="3"/>
      <c r="G99" s="1"/>
      <c r="H99" s="1"/>
      <c r="I99" s="1"/>
      <c r="J99" s="1"/>
    </row>
    <row r="100" spans="2:10" s="8" customFormat="1" x14ac:dyDescent="0.25">
      <c r="B100" s="1"/>
      <c r="C100" s="1"/>
      <c r="D100" s="1"/>
      <c r="E100" s="2"/>
      <c r="F100" s="3"/>
      <c r="G100" s="1"/>
      <c r="H100" s="1"/>
      <c r="I100" s="1"/>
      <c r="J100" s="1"/>
    </row>
    <row r="101" spans="2:10" s="8" customFormat="1" x14ac:dyDescent="0.25">
      <c r="B101" s="1"/>
      <c r="C101" s="1"/>
      <c r="D101" s="1"/>
      <c r="E101" s="2"/>
      <c r="F101" s="3"/>
      <c r="G101" s="1"/>
      <c r="H101" s="1"/>
      <c r="I101" s="1"/>
      <c r="J101" s="1"/>
    </row>
    <row r="102" spans="2:10" s="8" customFormat="1" x14ac:dyDescent="0.25">
      <c r="B102" s="1"/>
      <c r="C102" s="1"/>
      <c r="D102" s="1"/>
      <c r="E102" s="2"/>
      <c r="F102" s="3"/>
      <c r="G102" s="1"/>
      <c r="H102" s="1"/>
      <c r="I102" s="1"/>
      <c r="J102" s="1"/>
    </row>
    <row r="103" spans="2:10" s="8" customFormat="1" x14ac:dyDescent="0.25">
      <c r="B103" s="1"/>
      <c r="C103" s="1"/>
      <c r="D103" s="1"/>
      <c r="E103" s="2"/>
      <c r="F103" s="3"/>
      <c r="G103" s="1"/>
      <c r="H103" s="1"/>
      <c r="I103" s="1"/>
      <c r="J103" s="1"/>
    </row>
    <row r="104" spans="2:10" s="8" customFormat="1" x14ac:dyDescent="0.25">
      <c r="B104" s="1"/>
      <c r="C104" s="1"/>
      <c r="D104" s="1"/>
      <c r="E104" s="2"/>
      <c r="F104" s="3"/>
      <c r="G104" s="1"/>
      <c r="H104" s="1"/>
      <c r="I104" s="1"/>
      <c r="J104" s="1"/>
    </row>
    <row r="105" spans="2:10" s="8" customFormat="1" x14ac:dyDescent="0.25">
      <c r="B105" s="1"/>
      <c r="C105" s="1"/>
      <c r="D105" s="1"/>
      <c r="E105" s="2"/>
      <c r="F105" s="3"/>
      <c r="G105" s="1"/>
      <c r="H105" s="1"/>
      <c r="I105" s="1"/>
      <c r="J105" s="1"/>
    </row>
    <row r="106" spans="2:10" s="8" customFormat="1" x14ac:dyDescent="0.25">
      <c r="B106" s="1"/>
      <c r="C106" s="1"/>
      <c r="D106" s="1"/>
      <c r="E106" s="2"/>
      <c r="F106" s="3"/>
      <c r="G106" s="1"/>
      <c r="H106" s="1"/>
      <c r="I106" s="1"/>
      <c r="J106" s="1"/>
    </row>
    <row r="107" spans="2:10" s="8" customFormat="1" x14ac:dyDescent="0.25">
      <c r="B107" s="1"/>
      <c r="C107" s="1"/>
      <c r="D107" s="1"/>
      <c r="E107" s="2"/>
      <c r="F107" s="3"/>
      <c r="G107" s="1"/>
      <c r="H107" s="1"/>
      <c r="I107" s="1"/>
      <c r="J107" s="1"/>
    </row>
    <row r="108" spans="2:10" s="8" customFormat="1" x14ac:dyDescent="0.25">
      <c r="B108" s="1"/>
      <c r="C108" s="1"/>
      <c r="D108" s="1"/>
      <c r="E108" s="2"/>
      <c r="F108" s="3"/>
      <c r="G108" s="1"/>
      <c r="H108" s="1"/>
      <c r="I108" s="1"/>
      <c r="J108" s="1"/>
    </row>
    <row r="109" spans="2:10" s="8" customFormat="1" x14ac:dyDescent="0.25">
      <c r="B109" s="1"/>
      <c r="C109" s="1"/>
      <c r="D109" s="1"/>
      <c r="E109" s="2"/>
      <c r="F109" s="3"/>
      <c r="G109" s="1"/>
      <c r="H109" s="1"/>
      <c r="I109" s="1"/>
      <c r="J109" s="1"/>
    </row>
    <row r="110" spans="2:10" s="8" customFormat="1" x14ac:dyDescent="0.25">
      <c r="B110" s="1"/>
      <c r="C110" s="1"/>
      <c r="D110" s="1"/>
      <c r="E110" s="2"/>
      <c r="F110" s="3"/>
      <c r="G110" s="1"/>
      <c r="H110" s="1"/>
      <c r="I110" s="1"/>
      <c r="J110" s="1"/>
    </row>
    <row r="111" spans="2:10" s="8" customFormat="1" x14ac:dyDescent="0.25">
      <c r="B111" s="1"/>
      <c r="C111" s="1"/>
      <c r="D111" s="1"/>
      <c r="E111" s="2"/>
      <c r="F111" s="3"/>
      <c r="G111" s="1"/>
      <c r="H111" s="1"/>
      <c r="I111" s="1"/>
      <c r="J111" s="1"/>
    </row>
    <row r="112" spans="2:10" s="8" customFormat="1" x14ac:dyDescent="0.25">
      <c r="B112" s="1"/>
      <c r="C112" s="1"/>
      <c r="D112" s="1"/>
      <c r="E112" s="2"/>
      <c r="F112" s="3"/>
      <c r="G112" s="1"/>
      <c r="H112" s="1"/>
      <c r="I112" s="1"/>
      <c r="J112" s="1"/>
    </row>
    <row r="113" spans="2:19" s="8" customFormat="1" x14ac:dyDescent="0.25">
      <c r="B113" s="1"/>
      <c r="C113" s="1"/>
      <c r="D113" s="1"/>
      <c r="E113" s="2"/>
      <c r="F113" s="3"/>
      <c r="G113" s="1"/>
      <c r="H113" s="1"/>
      <c r="I113" s="1"/>
      <c r="J113" s="1"/>
    </row>
    <row r="114" spans="2:19" s="8" customFormat="1" x14ac:dyDescent="0.25">
      <c r="B114" s="1"/>
      <c r="C114" s="1"/>
      <c r="D114" s="1"/>
      <c r="E114" s="2"/>
      <c r="F114" s="3"/>
      <c r="G114" s="1"/>
      <c r="H114" s="1"/>
      <c r="I114" s="1"/>
      <c r="J114" s="1"/>
    </row>
    <row r="115" spans="2:19" s="8" customFormat="1" x14ac:dyDescent="0.25">
      <c r="B115" s="1"/>
      <c r="C115" s="1"/>
      <c r="D115" s="1"/>
      <c r="E115" s="2"/>
      <c r="F115" s="3"/>
      <c r="G115" s="1"/>
      <c r="H115" s="1"/>
      <c r="I115" s="1"/>
      <c r="J115" s="1"/>
    </row>
    <row r="116" spans="2:19" s="8" customFormat="1" x14ac:dyDescent="0.25">
      <c r="B116" s="1"/>
      <c r="C116" s="1"/>
      <c r="D116" s="1"/>
      <c r="E116" s="2"/>
      <c r="F116" s="3"/>
      <c r="G116" s="1"/>
      <c r="H116" s="1"/>
      <c r="I116" s="1"/>
      <c r="J116" s="1"/>
    </row>
    <row r="117" spans="2:19" s="8" customFormat="1" x14ac:dyDescent="0.25">
      <c r="B117" s="1"/>
      <c r="C117" s="1"/>
      <c r="D117" s="1"/>
      <c r="E117" s="2"/>
      <c r="F117" s="3"/>
      <c r="G117" s="1"/>
      <c r="H117" s="1"/>
      <c r="I117" s="1"/>
      <c r="J117" s="1"/>
    </row>
    <row r="118" spans="2:19" s="8" customFormat="1" x14ac:dyDescent="0.25">
      <c r="B118" s="1"/>
      <c r="C118" s="1"/>
      <c r="D118" s="1"/>
      <c r="E118" s="2"/>
      <c r="F118" s="3"/>
      <c r="G118" s="1"/>
      <c r="H118" s="1"/>
      <c r="I118" s="1"/>
      <c r="J118" s="1"/>
    </row>
    <row r="119" spans="2:19" s="8" customFormat="1" x14ac:dyDescent="0.25">
      <c r="B119" s="1"/>
      <c r="C119" s="1"/>
      <c r="D119" s="1"/>
      <c r="E119" s="2"/>
      <c r="F119" s="3"/>
      <c r="G119" s="1"/>
      <c r="H119" s="1"/>
      <c r="I119" s="1"/>
      <c r="J119" s="1"/>
    </row>
    <row r="120" spans="2:19" s="8" customFormat="1" x14ac:dyDescent="0.25">
      <c r="B120" s="1"/>
      <c r="C120" s="1"/>
      <c r="D120" s="1"/>
      <c r="E120" s="2"/>
      <c r="F120" s="3"/>
      <c r="G120" s="1"/>
      <c r="H120" s="1"/>
      <c r="I120" s="1"/>
      <c r="J120" s="1"/>
    </row>
    <row r="121" spans="2:19" s="8" customFormat="1" x14ac:dyDescent="0.25">
      <c r="B121" s="1"/>
      <c r="C121" s="1"/>
      <c r="D121" s="1"/>
      <c r="E121" s="2"/>
      <c r="F121" s="3"/>
      <c r="G121" s="1"/>
      <c r="H121" s="1"/>
      <c r="I121" s="1"/>
      <c r="J121" s="1"/>
    </row>
    <row r="122" spans="2:19" s="8" customFormat="1" x14ac:dyDescent="0.25">
      <c r="B122" s="1"/>
      <c r="C122" s="1"/>
      <c r="D122" s="1"/>
      <c r="E122" s="2"/>
      <c r="F122" s="3"/>
      <c r="G122" s="1"/>
      <c r="H122" s="1"/>
      <c r="I122" s="1"/>
      <c r="J122" s="1"/>
    </row>
    <row r="123" spans="2:19" s="8" customFormat="1" x14ac:dyDescent="0.25">
      <c r="B123" s="1"/>
      <c r="C123" s="1"/>
      <c r="D123" s="1"/>
      <c r="E123" s="2"/>
      <c r="F123" s="3"/>
      <c r="G123" s="1"/>
      <c r="H123" s="1"/>
      <c r="I123" s="1"/>
      <c r="J123" s="1"/>
    </row>
    <row r="124" spans="2:19" s="8" customFormat="1" x14ac:dyDescent="0.25">
      <c r="B124" s="1"/>
      <c r="C124" s="1"/>
      <c r="D124" s="1"/>
      <c r="E124" s="2"/>
      <c r="F124" s="3"/>
      <c r="G124" s="1"/>
      <c r="H124" s="1"/>
      <c r="I124" s="1"/>
      <c r="J124" s="1"/>
    </row>
    <row r="125" spans="2:19" s="8" customFormat="1" x14ac:dyDescent="0.25">
      <c r="B125" s="1"/>
      <c r="C125" s="1"/>
      <c r="D125" s="1"/>
      <c r="E125" s="2"/>
      <c r="F125" s="3"/>
      <c r="G125" s="1"/>
      <c r="H125" s="1"/>
      <c r="I125" s="1"/>
      <c r="J125" s="1"/>
    </row>
    <row r="126" spans="2:19" s="8" customFormat="1" x14ac:dyDescent="0.25">
      <c r="B126" s="1"/>
      <c r="C126" s="1"/>
      <c r="D126" s="1"/>
      <c r="E126" s="2"/>
      <c r="F126" s="3"/>
      <c r="G126" s="1"/>
      <c r="H126" s="1"/>
      <c r="I126" s="1"/>
      <c r="J126" s="1"/>
    </row>
    <row r="127" spans="2:19" s="8" customFormat="1" x14ac:dyDescent="0.25">
      <c r="B127" s="1"/>
      <c r="C127" s="1"/>
      <c r="D127" s="1"/>
      <c r="E127" s="2"/>
      <c r="F127" s="3"/>
      <c r="G127" s="1"/>
      <c r="H127" s="1"/>
      <c r="I127" s="1"/>
      <c r="J127" s="1"/>
      <c r="R127" s="1"/>
      <c r="S127" s="1"/>
    </row>
    <row r="128" spans="2:19" s="8" customFormat="1" x14ac:dyDescent="0.25">
      <c r="B128" s="1"/>
      <c r="C128" s="1"/>
      <c r="D128" s="1"/>
      <c r="E128" s="2"/>
      <c r="F128" s="3"/>
      <c r="G128" s="1"/>
      <c r="H128" s="1"/>
      <c r="I128" s="1"/>
      <c r="J128" s="1"/>
      <c r="L128" s="1"/>
      <c r="M128" s="1"/>
      <c r="N128" s="1"/>
      <c r="O128" s="1"/>
      <c r="P128" s="1"/>
      <c r="Q128" s="1"/>
    </row>
    <row r="129" spans="2:19" s="8" customFormat="1" x14ac:dyDescent="0.25">
      <c r="B129" s="1"/>
      <c r="C129" s="1"/>
      <c r="D129" s="1"/>
      <c r="E129" s="2"/>
      <c r="F129" s="3"/>
      <c r="G129" s="1"/>
      <c r="H129" s="1"/>
      <c r="I129" s="1"/>
      <c r="J129" s="1"/>
      <c r="R129" s="1"/>
      <c r="S129" s="1"/>
    </row>
    <row r="130" spans="2:19" s="8" customFormat="1" x14ac:dyDescent="0.25">
      <c r="B130" s="1"/>
      <c r="C130" s="1"/>
      <c r="D130" s="1"/>
      <c r="E130" s="2"/>
      <c r="F130" s="3"/>
      <c r="G130" s="1"/>
      <c r="H130" s="1"/>
      <c r="I130" s="1"/>
      <c r="J130" s="1"/>
      <c r="L130" s="1"/>
      <c r="M130" s="1"/>
      <c r="N130" s="1"/>
      <c r="O130" s="1"/>
      <c r="P130" s="1"/>
      <c r="Q130" s="1"/>
      <c r="R130" s="1"/>
      <c r="S130" s="1"/>
    </row>
    <row r="131" spans="2:19" s="8" customFormat="1" x14ac:dyDescent="0.25">
      <c r="B131" s="1"/>
      <c r="C131" s="1"/>
      <c r="D131" s="1"/>
      <c r="E131" s="2"/>
      <c r="F131" s="3"/>
      <c r="G131" s="1"/>
      <c r="H131" s="1"/>
      <c r="I131" s="1"/>
      <c r="J131" s="1"/>
      <c r="L131" s="1"/>
      <c r="M131" s="1"/>
      <c r="N131" s="1"/>
      <c r="O131" s="1"/>
      <c r="P131" s="1"/>
      <c r="Q131" s="1"/>
      <c r="R131" s="1"/>
      <c r="S131" s="1"/>
    </row>
    <row r="132" spans="2:19" s="8" customFormat="1" x14ac:dyDescent="0.25">
      <c r="B132" s="1"/>
      <c r="C132" s="1"/>
      <c r="D132" s="1"/>
      <c r="E132" s="2"/>
      <c r="F132" s="3"/>
      <c r="G132" s="1"/>
      <c r="H132" s="1"/>
      <c r="I132" s="1"/>
      <c r="J132" s="1"/>
      <c r="L132" s="1"/>
      <c r="M132" s="1"/>
      <c r="N132" s="1"/>
      <c r="O132" s="1"/>
      <c r="P132" s="1"/>
      <c r="Q132" s="1"/>
      <c r="R132" s="1"/>
      <c r="S132" s="1"/>
    </row>
    <row r="133" spans="2:19" s="8" customFormat="1" x14ac:dyDescent="0.25">
      <c r="B133" s="1"/>
      <c r="C133" s="1"/>
      <c r="D133" s="1"/>
      <c r="E133" s="2"/>
      <c r="F133" s="3"/>
      <c r="G133" s="1"/>
      <c r="H133" s="1"/>
      <c r="I133" s="1"/>
      <c r="J133" s="1"/>
      <c r="L133" s="1"/>
      <c r="M133" s="1"/>
      <c r="N133" s="1"/>
      <c r="O133" s="1"/>
      <c r="P133" s="1"/>
      <c r="Q133" s="1"/>
      <c r="R133" s="1"/>
      <c r="S133" s="1"/>
    </row>
    <row r="134" spans="2:19" s="8" customFormat="1" x14ac:dyDescent="0.25">
      <c r="B134" s="1"/>
      <c r="C134" s="1"/>
      <c r="D134" s="1"/>
      <c r="E134" s="2"/>
      <c r="F134" s="3"/>
      <c r="G134" s="1"/>
      <c r="H134" s="1"/>
      <c r="I134" s="1"/>
      <c r="J134" s="1"/>
      <c r="L134" s="1"/>
      <c r="M134" s="1"/>
      <c r="N134" s="1"/>
      <c r="O134" s="1"/>
      <c r="P134" s="1"/>
      <c r="Q134" s="1"/>
      <c r="R134" s="1"/>
      <c r="S134" s="1"/>
    </row>
    <row r="135" spans="2:19" s="8" customFormat="1" x14ac:dyDescent="0.25">
      <c r="B135" s="1"/>
      <c r="C135" s="1"/>
      <c r="D135" s="1"/>
      <c r="E135" s="2"/>
      <c r="F135" s="3"/>
      <c r="G135" s="1"/>
      <c r="H135" s="1"/>
      <c r="I135" s="1"/>
      <c r="J135" s="1"/>
      <c r="L135" s="1"/>
      <c r="M135" s="1"/>
      <c r="N135" s="1"/>
      <c r="O135" s="1"/>
      <c r="P135" s="1"/>
      <c r="Q135" s="1"/>
      <c r="R135" s="1"/>
      <c r="S135" s="1"/>
    </row>
    <row r="136" spans="2:19" s="8" customFormat="1" x14ac:dyDescent="0.25">
      <c r="B136" s="1"/>
      <c r="C136" s="1"/>
      <c r="D136" s="1"/>
      <c r="E136" s="2"/>
      <c r="F136" s="3"/>
      <c r="G136" s="1"/>
      <c r="H136" s="1"/>
      <c r="I136" s="1"/>
      <c r="J136" s="1"/>
      <c r="L136" s="1"/>
      <c r="M136" s="1"/>
      <c r="N136" s="1"/>
      <c r="O136" s="1"/>
      <c r="P136" s="1"/>
      <c r="Q136" s="1"/>
      <c r="R136" s="1"/>
      <c r="S136" s="1"/>
    </row>
    <row r="137" spans="2:19" s="8" customFormat="1" x14ac:dyDescent="0.25">
      <c r="B137" s="1"/>
      <c r="C137" s="1"/>
      <c r="D137" s="1"/>
      <c r="E137" s="2"/>
      <c r="F137" s="3"/>
      <c r="G137" s="1"/>
      <c r="H137" s="1"/>
      <c r="I137" s="1"/>
      <c r="J137" s="1"/>
      <c r="L137" s="1"/>
      <c r="M137" s="1"/>
      <c r="N137" s="1"/>
      <c r="O137" s="1"/>
      <c r="P137" s="1"/>
      <c r="Q137" s="1"/>
      <c r="R137" s="1"/>
      <c r="S137" s="1"/>
    </row>
    <row r="138" spans="2:19" s="8" customFormat="1" x14ac:dyDescent="0.25">
      <c r="B138" s="1"/>
      <c r="C138" s="1"/>
      <c r="D138" s="1"/>
      <c r="E138" s="2"/>
      <c r="F138" s="3"/>
      <c r="G138" s="1"/>
      <c r="H138" s="1"/>
      <c r="I138" s="1"/>
      <c r="J138" s="1"/>
      <c r="L138" s="1"/>
      <c r="M138" s="1"/>
      <c r="N138" s="1"/>
      <c r="O138" s="1"/>
      <c r="P138" s="1"/>
      <c r="Q138" s="1"/>
      <c r="R138" s="1"/>
      <c r="S138" s="1"/>
    </row>
    <row r="139" spans="2:19" s="8" customFormat="1" x14ac:dyDescent="0.25">
      <c r="B139" s="1"/>
      <c r="C139" s="1"/>
      <c r="D139" s="1"/>
      <c r="E139" s="2"/>
      <c r="F139" s="3"/>
      <c r="G139" s="1"/>
      <c r="H139" s="1"/>
      <c r="I139" s="1"/>
      <c r="J139" s="1"/>
      <c r="L139" s="1"/>
      <c r="M139" s="1"/>
      <c r="N139" s="1"/>
      <c r="O139" s="1"/>
      <c r="P139" s="1"/>
      <c r="Q139" s="1"/>
      <c r="R139" s="1"/>
      <c r="S139" s="1"/>
    </row>
    <row r="140" spans="2:19" s="8" customFormat="1" x14ac:dyDescent="0.25">
      <c r="B140" s="1"/>
      <c r="C140" s="1"/>
      <c r="D140" s="1"/>
      <c r="E140" s="2"/>
      <c r="F140" s="3"/>
      <c r="G140" s="1"/>
      <c r="H140" s="1"/>
      <c r="I140" s="1"/>
      <c r="J140" s="1"/>
      <c r="L140" s="1"/>
      <c r="M140" s="1"/>
      <c r="N140" s="1"/>
      <c r="O140" s="1"/>
      <c r="P140" s="1"/>
      <c r="Q140" s="1"/>
      <c r="R140" s="1"/>
      <c r="S140" s="1"/>
    </row>
    <row r="141" spans="2:19" s="8" customFormat="1" x14ac:dyDescent="0.25">
      <c r="B141" s="1"/>
      <c r="C141" s="1"/>
      <c r="D141" s="1"/>
      <c r="E141" s="2"/>
      <c r="F141" s="3"/>
      <c r="G141" s="1"/>
      <c r="H141" s="1"/>
      <c r="I141" s="1"/>
      <c r="J141" s="1"/>
      <c r="L141" s="1"/>
      <c r="M141" s="1"/>
      <c r="N141" s="1"/>
      <c r="O141" s="1"/>
      <c r="P141" s="1"/>
      <c r="Q141" s="1"/>
      <c r="R141" s="1"/>
      <c r="S141" s="1"/>
    </row>
    <row r="142" spans="2:19" s="8" customFormat="1" x14ac:dyDescent="0.25">
      <c r="B142" s="1"/>
      <c r="C142" s="1"/>
      <c r="D142" s="1"/>
      <c r="E142" s="2"/>
      <c r="F142" s="3"/>
      <c r="G142" s="1"/>
      <c r="H142" s="1"/>
      <c r="I142" s="1"/>
      <c r="J142" s="1"/>
      <c r="L142" s="1"/>
      <c r="M142" s="1"/>
      <c r="N142" s="1"/>
      <c r="O142" s="1"/>
      <c r="P142" s="1"/>
      <c r="Q142" s="1"/>
      <c r="R142" s="1"/>
      <c r="S142" s="1"/>
    </row>
    <row r="144" spans="2:19" s="8" customFormat="1" ht="21.75" customHeight="1" x14ac:dyDescent="0.25">
      <c r="B144" s="1"/>
      <c r="C144" s="1"/>
      <c r="D144" s="1"/>
      <c r="E144" s="2"/>
      <c r="F144" s="3"/>
      <c r="G144" s="1"/>
      <c r="H144" s="1"/>
      <c r="I144" s="1"/>
      <c r="J144" s="1"/>
      <c r="L144" s="1"/>
      <c r="M144" s="1"/>
      <c r="N144" s="1"/>
      <c r="O144" s="1"/>
      <c r="P144" s="1"/>
      <c r="Q144" s="1"/>
      <c r="R144" s="1"/>
      <c r="S144" s="1"/>
    </row>
  </sheetData>
  <mergeCells count="18">
    <mergeCell ref="B7:C7"/>
    <mergeCell ref="D7:J7"/>
    <mergeCell ref="L7:M7"/>
    <mergeCell ref="B5:C5"/>
    <mergeCell ref="D5:J5"/>
    <mergeCell ref="L5:M5"/>
    <mergeCell ref="B6:C6"/>
    <mergeCell ref="B2:J2"/>
    <mergeCell ref="B4:C4"/>
    <mergeCell ref="D4:J4"/>
    <mergeCell ref="L4:M4"/>
    <mergeCell ref="L2:T2"/>
    <mergeCell ref="N4:T4"/>
    <mergeCell ref="D6:J6"/>
    <mergeCell ref="L6:M6"/>
    <mergeCell ref="N5:T5"/>
    <mergeCell ref="N6:T6"/>
    <mergeCell ref="N7:T7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441CAB-2243-4628-A19D-4AC358CD4B79}">
          <x14:formula1>
            <xm:f>#REF!</xm:f>
          </x14:formula1>
          <xm:sqref>C10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C394-5C67-41AF-99DB-A1B1B57226CE}">
  <dimension ref="B1:T143"/>
  <sheetViews>
    <sheetView workbookViewId="0">
      <selection activeCell="G26" sqref="G26"/>
    </sheetView>
  </sheetViews>
  <sheetFormatPr defaultRowHeight="14.25" x14ac:dyDescent="0.25"/>
  <cols>
    <col min="1" max="1" width="5.85546875" style="1" customWidth="1"/>
    <col min="2" max="2" width="13.5703125" style="1" customWidth="1"/>
    <col min="3" max="3" width="22.7109375" style="1" customWidth="1"/>
    <col min="4" max="4" width="44.5703125" style="1" customWidth="1"/>
    <col min="5" max="5" width="5.85546875" style="2" customWidth="1"/>
    <col min="6" max="6" width="8.7109375" style="3" customWidth="1"/>
    <col min="7" max="7" width="10.28515625" style="1" customWidth="1"/>
    <col min="8" max="8" width="11.7109375" style="1" customWidth="1"/>
    <col min="9" max="9" width="9" style="1" customWidth="1"/>
    <col min="10" max="10" width="13.28515625" style="1" customWidth="1"/>
    <col min="11" max="11" width="1.5703125" style="1" customWidth="1"/>
    <col min="12" max="12" width="9.140625" style="1"/>
    <col min="13" max="13" width="31.42578125" style="1" customWidth="1"/>
    <col min="14" max="14" width="12.28515625" style="1" customWidth="1"/>
    <col min="15" max="15" width="9.140625" style="1"/>
    <col min="16" max="16" width="10.7109375" style="1" customWidth="1"/>
    <col min="17" max="17" width="9.5703125" style="1" customWidth="1"/>
    <col min="18" max="215" width="9.140625" style="1"/>
    <col min="216" max="216" width="11.42578125" style="1" customWidth="1"/>
    <col min="217" max="217" width="25.140625" style="1" customWidth="1"/>
    <col min="218" max="218" width="42.7109375" style="1" customWidth="1"/>
    <col min="219" max="219" width="9.28515625" style="1" customWidth="1"/>
    <col min="220" max="220" width="13.85546875" style="1" customWidth="1"/>
    <col min="221" max="221" width="10.42578125" style="1" customWidth="1"/>
    <col min="222" max="222" width="16.7109375" style="1" customWidth="1"/>
    <col min="223" max="223" width="16.28515625" style="1" customWidth="1"/>
    <col min="224" max="224" width="14.42578125" style="1" customWidth="1"/>
    <col min="225" max="225" width="14.85546875" style="1" customWidth="1"/>
    <col min="226" max="226" width="13" style="1" customWidth="1"/>
    <col min="227" max="227" width="18.7109375" style="1" customWidth="1"/>
    <col min="228" max="228" width="6" style="1" customWidth="1"/>
    <col min="229" max="229" width="15.28515625" style="1" customWidth="1"/>
    <col min="230" max="230" width="28" style="1" customWidth="1"/>
    <col min="231" max="231" width="13.5703125" style="1" customWidth="1"/>
    <col min="232" max="232" width="15.5703125" style="1" customWidth="1"/>
    <col min="233" max="233" width="8.85546875" style="1" customWidth="1"/>
    <col min="234" max="234" width="15.28515625" style="1" customWidth="1"/>
    <col min="235" max="235" width="15.7109375" style="1" customWidth="1"/>
    <col min="236" max="238" width="17.140625" style="1" customWidth="1"/>
    <col min="239" max="239" width="35.7109375" style="1" customWidth="1"/>
    <col min="240" max="240" width="28.5703125" style="1" customWidth="1"/>
    <col min="241" max="241" width="17.140625" style="1" customWidth="1"/>
    <col min="242" max="242" width="28.5703125" style="1" customWidth="1"/>
    <col min="243" max="471" width="9.140625" style="1"/>
    <col min="472" max="472" width="11.42578125" style="1" customWidth="1"/>
    <col min="473" max="473" width="25.140625" style="1" customWidth="1"/>
    <col min="474" max="474" width="42.7109375" style="1" customWidth="1"/>
    <col min="475" max="475" width="9.28515625" style="1" customWidth="1"/>
    <col min="476" max="476" width="13.85546875" style="1" customWidth="1"/>
    <col min="477" max="477" width="10.42578125" style="1" customWidth="1"/>
    <col min="478" max="478" width="16.7109375" style="1" customWidth="1"/>
    <col min="479" max="479" width="16.28515625" style="1" customWidth="1"/>
    <col min="480" max="480" width="14.42578125" style="1" customWidth="1"/>
    <col min="481" max="481" width="14.85546875" style="1" customWidth="1"/>
    <col min="482" max="482" width="13" style="1" customWidth="1"/>
    <col min="483" max="483" width="18.7109375" style="1" customWidth="1"/>
    <col min="484" max="484" width="6" style="1" customWidth="1"/>
    <col min="485" max="485" width="15.28515625" style="1" customWidth="1"/>
    <col min="486" max="486" width="28" style="1" customWidth="1"/>
    <col min="487" max="487" width="13.5703125" style="1" customWidth="1"/>
    <col min="488" max="488" width="15.5703125" style="1" customWidth="1"/>
    <col min="489" max="489" width="8.85546875" style="1" customWidth="1"/>
    <col min="490" max="490" width="15.28515625" style="1" customWidth="1"/>
    <col min="491" max="491" width="15.7109375" style="1" customWidth="1"/>
    <col min="492" max="494" width="17.140625" style="1" customWidth="1"/>
    <col min="495" max="495" width="35.7109375" style="1" customWidth="1"/>
    <col min="496" max="496" width="28.5703125" style="1" customWidth="1"/>
    <col min="497" max="497" width="17.140625" style="1" customWidth="1"/>
    <col min="498" max="498" width="28.5703125" style="1" customWidth="1"/>
    <col min="499" max="727" width="9.140625" style="1"/>
    <col min="728" max="728" width="11.42578125" style="1" customWidth="1"/>
    <col min="729" max="729" width="25.140625" style="1" customWidth="1"/>
    <col min="730" max="730" width="42.7109375" style="1" customWidth="1"/>
    <col min="731" max="731" width="9.28515625" style="1" customWidth="1"/>
    <col min="732" max="732" width="13.85546875" style="1" customWidth="1"/>
    <col min="733" max="733" width="10.42578125" style="1" customWidth="1"/>
    <col min="734" max="734" width="16.7109375" style="1" customWidth="1"/>
    <col min="735" max="735" width="16.28515625" style="1" customWidth="1"/>
    <col min="736" max="736" width="14.42578125" style="1" customWidth="1"/>
    <col min="737" max="737" width="14.85546875" style="1" customWidth="1"/>
    <col min="738" max="738" width="13" style="1" customWidth="1"/>
    <col min="739" max="739" width="18.7109375" style="1" customWidth="1"/>
    <col min="740" max="740" width="6" style="1" customWidth="1"/>
    <col min="741" max="741" width="15.28515625" style="1" customWidth="1"/>
    <col min="742" max="742" width="28" style="1" customWidth="1"/>
    <col min="743" max="743" width="13.5703125" style="1" customWidth="1"/>
    <col min="744" max="744" width="15.5703125" style="1" customWidth="1"/>
    <col min="745" max="745" width="8.85546875" style="1" customWidth="1"/>
    <col min="746" max="746" width="15.28515625" style="1" customWidth="1"/>
    <col min="747" max="747" width="15.7109375" style="1" customWidth="1"/>
    <col min="748" max="750" width="17.140625" style="1" customWidth="1"/>
    <col min="751" max="751" width="35.7109375" style="1" customWidth="1"/>
    <col min="752" max="752" width="28.5703125" style="1" customWidth="1"/>
    <col min="753" max="753" width="17.140625" style="1" customWidth="1"/>
    <col min="754" max="754" width="28.5703125" style="1" customWidth="1"/>
    <col min="755" max="983" width="9.140625" style="1"/>
    <col min="984" max="984" width="11.42578125" style="1" customWidth="1"/>
    <col min="985" max="985" width="25.140625" style="1" customWidth="1"/>
    <col min="986" max="986" width="42.7109375" style="1" customWidth="1"/>
    <col min="987" max="987" width="9.28515625" style="1" customWidth="1"/>
    <col min="988" max="988" width="13.85546875" style="1" customWidth="1"/>
    <col min="989" max="989" width="10.42578125" style="1" customWidth="1"/>
    <col min="990" max="990" width="16.7109375" style="1" customWidth="1"/>
    <col min="991" max="991" width="16.28515625" style="1" customWidth="1"/>
    <col min="992" max="992" width="14.42578125" style="1" customWidth="1"/>
    <col min="993" max="993" width="14.85546875" style="1" customWidth="1"/>
    <col min="994" max="994" width="13" style="1" customWidth="1"/>
    <col min="995" max="995" width="18.7109375" style="1" customWidth="1"/>
    <col min="996" max="996" width="6" style="1" customWidth="1"/>
    <col min="997" max="997" width="15.28515625" style="1" customWidth="1"/>
    <col min="998" max="998" width="28" style="1" customWidth="1"/>
    <col min="999" max="999" width="13.5703125" style="1" customWidth="1"/>
    <col min="1000" max="1000" width="15.5703125" style="1" customWidth="1"/>
    <col min="1001" max="1001" width="8.85546875" style="1" customWidth="1"/>
    <col min="1002" max="1002" width="15.28515625" style="1" customWidth="1"/>
    <col min="1003" max="1003" width="15.7109375" style="1" customWidth="1"/>
    <col min="1004" max="1006" width="17.140625" style="1" customWidth="1"/>
    <col min="1007" max="1007" width="35.7109375" style="1" customWidth="1"/>
    <col min="1008" max="1008" width="28.5703125" style="1" customWidth="1"/>
    <col min="1009" max="1009" width="17.140625" style="1" customWidth="1"/>
    <col min="1010" max="1010" width="28.5703125" style="1" customWidth="1"/>
    <col min="1011" max="1239" width="9.140625" style="1"/>
    <col min="1240" max="1240" width="11.42578125" style="1" customWidth="1"/>
    <col min="1241" max="1241" width="25.140625" style="1" customWidth="1"/>
    <col min="1242" max="1242" width="42.7109375" style="1" customWidth="1"/>
    <col min="1243" max="1243" width="9.28515625" style="1" customWidth="1"/>
    <col min="1244" max="1244" width="13.85546875" style="1" customWidth="1"/>
    <col min="1245" max="1245" width="10.42578125" style="1" customWidth="1"/>
    <col min="1246" max="1246" width="16.7109375" style="1" customWidth="1"/>
    <col min="1247" max="1247" width="16.28515625" style="1" customWidth="1"/>
    <col min="1248" max="1248" width="14.42578125" style="1" customWidth="1"/>
    <col min="1249" max="1249" width="14.85546875" style="1" customWidth="1"/>
    <col min="1250" max="1250" width="13" style="1" customWidth="1"/>
    <col min="1251" max="1251" width="18.7109375" style="1" customWidth="1"/>
    <col min="1252" max="1252" width="6" style="1" customWidth="1"/>
    <col min="1253" max="1253" width="15.28515625" style="1" customWidth="1"/>
    <col min="1254" max="1254" width="28" style="1" customWidth="1"/>
    <col min="1255" max="1255" width="13.5703125" style="1" customWidth="1"/>
    <col min="1256" max="1256" width="15.5703125" style="1" customWidth="1"/>
    <col min="1257" max="1257" width="8.85546875" style="1" customWidth="1"/>
    <col min="1258" max="1258" width="15.28515625" style="1" customWidth="1"/>
    <col min="1259" max="1259" width="15.7109375" style="1" customWidth="1"/>
    <col min="1260" max="1262" width="17.140625" style="1" customWidth="1"/>
    <col min="1263" max="1263" width="35.7109375" style="1" customWidth="1"/>
    <col min="1264" max="1264" width="28.5703125" style="1" customWidth="1"/>
    <col min="1265" max="1265" width="17.140625" style="1" customWidth="1"/>
    <col min="1266" max="1266" width="28.5703125" style="1" customWidth="1"/>
    <col min="1267" max="1495" width="9.140625" style="1"/>
    <col min="1496" max="1496" width="11.42578125" style="1" customWidth="1"/>
    <col min="1497" max="1497" width="25.140625" style="1" customWidth="1"/>
    <col min="1498" max="1498" width="42.7109375" style="1" customWidth="1"/>
    <col min="1499" max="1499" width="9.28515625" style="1" customWidth="1"/>
    <col min="1500" max="1500" width="13.85546875" style="1" customWidth="1"/>
    <col min="1501" max="1501" width="10.42578125" style="1" customWidth="1"/>
    <col min="1502" max="1502" width="16.7109375" style="1" customWidth="1"/>
    <col min="1503" max="1503" width="16.28515625" style="1" customWidth="1"/>
    <col min="1504" max="1504" width="14.42578125" style="1" customWidth="1"/>
    <col min="1505" max="1505" width="14.85546875" style="1" customWidth="1"/>
    <col min="1506" max="1506" width="13" style="1" customWidth="1"/>
    <col min="1507" max="1507" width="18.7109375" style="1" customWidth="1"/>
    <col min="1508" max="1508" width="6" style="1" customWidth="1"/>
    <col min="1509" max="1509" width="15.28515625" style="1" customWidth="1"/>
    <col min="1510" max="1510" width="28" style="1" customWidth="1"/>
    <col min="1511" max="1511" width="13.5703125" style="1" customWidth="1"/>
    <col min="1512" max="1512" width="15.5703125" style="1" customWidth="1"/>
    <col min="1513" max="1513" width="8.85546875" style="1" customWidth="1"/>
    <col min="1514" max="1514" width="15.28515625" style="1" customWidth="1"/>
    <col min="1515" max="1515" width="15.7109375" style="1" customWidth="1"/>
    <col min="1516" max="1518" width="17.140625" style="1" customWidth="1"/>
    <col min="1519" max="1519" width="35.7109375" style="1" customWidth="1"/>
    <col min="1520" max="1520" width="28.5703125" style="1" customWidth="1"/>
    <col min="1521" max="1521" width="17.140625" style="1" customWidth="1"/>
    <col min="1522" max="1522" width="28.5703125" style="1" customWidth="1"/>
    <col min="1523" max="1751" width="9.140625" style="1"/>
    <col min="1752" max="1752" width="11.42578125" style="1" customWidth="1"/>
    <col min="1753" max="1753" width="25.140625" style="1" customWidth="1"/>
    <col min="1754" max="1754" width="42.7109375" style="1" customWidth="1"/>
    <col min="1755" max="1755" width="9.28515625" style="1" customWidth="1"/>
    <col min="1756" max="1756" width="13.85546875" style="1" customWidth="1"/>
    <col min="1757" max="1757" width="10.42578125" style="1" customWidth="1"/>
    <col min="1758" max="1758" width="16.7109375" style="1" customWidth="1"/>
    <col min="1759" max="1759" width="16.28515625" style="1" customWidth="1"/>
    <col min="1760" max="1760" width="14.42578125" style="1" customWidth="1"/>
    <col min="1761" max="1761" width="14.85546875" style="1" customWidth="1"/>
    <col min="1762" max="1762" width="13" style="1" customWidth="1"/>
    <col min="1763" max="1763" width="18.7109375" style="1" customWidth="1"/>
    <col min="1764" max="1764" width="6" style="1" customWidth="1"/>
    <col min="1765" max="1765" width="15.28515625" style="1" customWidth="1"/>
    <col min="1766" max="1766" width="28" style="1" customWidth="1"/>
    <col min="1767" max="1767" width="13.5703125" style="1" customWidth="1"/>
    <col min="1768" max="1768" width="15.5703125" style="1" customWidth="1"/>
    <col min="1769" max="1769" width="8.85546875" style="1" customWidth="1"/>
    <col min="1770" max="1770" width="15.28515625" style="1" customWidth="1"/>
    <col min="1771" max="1771" width="15.7109375" style="1" customWidth="1"/>
    <col min="1772" max="1774" width="17.140625" style="1" customWidth="1"/>
    <col min="1775" max="1775" width="35.7109375" style="1" customWidth="1"/>
    <col min="1776" max="1776" width="28.5703125" style="1" customWidth="1"/>
    <col min="1777" max="1777" width="17.140625" style="1" customWidth="1"/>
    <col min="1778" max="1778" width="28.5703125" style="1" customWidth="1"/>
    <col min="1779" max="2007" width="9.140625" style="1"/>
    <col min="2008" max="2008" width="11.42578125" style="1" customWidth="1"/>
    <col min="2009" max="2009" width="25.140625" style="1" customWidth="1"/>
    <col min="2010" max="2010" width="42.7109375" style="1" customWidth="1"/>
    <col min="2011" max="2011" width="9.28515625" style="1" customWidth="1"/>
    <col min="2012" max="2012" width="13.85546875" style="1" customWidth="1"/>
    <col min="2013" max="2013" width="10.42578125" style="1" customWidth="1"/>
    <col min="2014" max="2014" width="16.7109375" style="1" customWidth="1"/>
    <col min="2015" max="2015" width="16.28515625" style="1" customWidth="1"/>
    <col min="2016" max="2016" width="14.42578125" style="1" customWidth="1"/>
    <col min="2017" max="2017" width="14.85546875" style="1" customWidth="1"/>
    <col min="2018" max="2018" width="13" style="1" customWidth="1"/>
    <col min="2019" max="2019" width="18.7109375" style="1" customWidth="1"/>
    <col min="2020" max="2020" width="6" style="1" customWidth="1"/>
    <col min="2021" max="2021" width="15.28515625" style="1" customWidth="1"/>
    <col min="2022" max="2022" width="28" style="1" customWidth="1"/>
    <col min="2023" max="2023" width="13.5703125" style="1" customWidth="1"/>
    <col min="2024" max="2024" width="15.5703125" style="1" customWidth="1"/>
    <col min="2025" max="2025" width="8.85546875" style="1" customWidth="1"/>
    <col min="2026" max="2026" width="15.28515625" style="1" customWidth="1"/>
    <col min="2027" max="2027" width="15.7109375" style="1" customWidth="1"/>
    <col min="2028" max="2030" width="17.140625" style="1" customWidth="1"/>
    <col min="2031" max="2031" width="35.7109375" style="1" customWidth="1"/>
    <col min="2032" max="2032" width="28.5703125" style="1" customWidth="1"/>
    <col min="2033" max="2033" width="17.140625" style="1" customWidth="1"/>
    <col min="2034" max="2034" width="28.5703125" style="1" customWidth="1"/>
    <col min="2035" max="2263" width="9.140625" style="1"/>
    <col min="2264" max="2264" width="11.42578125" style="1" customWidth="1"/>
    <col min="2265" max="2265" width="25.140625" style="1" customWidth="1"/>
    <col min="2266" max="2266" width="42.7109375" style="1" customWidth="1"/>
    <col min="2267" max="2267" width="9.28515625" style="1" customWidth="1"/>
    <col min="2268" max="2268" width="13.85546875" style="1" customWidth="1"/>
    <col min="2269" max="2269" width="10.42578125" style="1" customWidth="1"/>
    <col min="2270" max="2270" width="16.7109375" style="1" customWidth="1"/>
    <col min="2271" max="2271" width="16.28515625" style="1" customWidth="1"/>
    <col min="2272" max="2272" width="14.42578125" style="1" customWidth="1"/>
    <col min="2273" max="2273" width="14.85546875" style="1" customWidth="1"/>
    <col min="2274" max="2274" width="13" style="1" customWidth="1"/>
    <col min="2275" max="2275" width="18.7109375" style="1" customWidth="1"/>
    <col min="2276" max="2276" width="6" style="1" customWidth="1"/>
    <col min="2277" max="2277" width="15.28515625" style="1" customWidth="1"/>
    <col min="2278" max="2278" width="28" style="1" customWidth="1"/>
    <col min="2279" max="2279" width="13.5703125" style="1" customWidth="1"/>
    <col min="2280" max="2280" width="15.5703125" style="1" customWidth="1"/>
    <col min="2281" max="2281" width="8.85546875" style="1" customWidth="1"/>
    <col min="2282" max="2282" width="15.28515625" style="1" customWidth="1"/>
    <col min="2283" max="2283" width="15.7109375" style="1" customWidth="1"/>
    <col min="2284" max="2286" width="17.140625" style="1" customWidth="1"/>
    <col min="2287" max="2287" width="35.7109375" style="1" customWidth="1"/>
    <col min="2288" max="2288" width="28.5703125" style="1" customWidth="1"/>
    <col min="2289" max="2289" width="17.140625" style="1" customWidth="1"/>
    <col min="2290" max="2290" width="28.5703125" style="1" customWidth="1"/>
    <col min="2291" max="2519" width="9.140625" style="1"/>
    <col min="2520" max="2520" width="11.42578125" style="1" customWidth="1"/>
    <col min="2521" max="2521" width="25.140625" style="1" customWidth="1"/>
    <col min="2522" max="2522" width="42.7109375" style="1" customWidth="1"/>
    <col min="2523" max="2523" width="9.28515625" style="1" customWidth="1"/>
    <col min="2524" max="2524" width="13.85546875" style="1" customWidth="1"/>
    <col min="2525" max="2525" width="10.42578125" style="1" customWidth="1"/>
    <col min="2526" max="2526" width="16.7109375" style="1" customWidth="1"/>
    <col min="2527" max="2527" width="16.28515625" style="1" customWidth="1"/>
    <col min="2528" max="2528" width="14.42578125" style="1" customWidth="1"/>
    <col min="2529" max="2529" width="14.85546875" style="1" customWidth="1"/>
    <col min="2530" max="2530" width="13" style="1" customWidth="1"/>
    <col min="2531" max="2531" width="18.7109375" style="1" customWidth="1"/>
    <col min="2532" max="2532" width="6" style="1" customWidth="1"/>
    <col min="2533" max="2533" width="15.28515625" style="1" customWidth="1"/>
    <col min="2534" max="2534" width="28" style="1" customWidth="1"/>
    <col min="2535" max="2535" width="13.5703125" style="1" customWidth="1"/>
    <col min="2536" max="2536" width="15.5703125" style="1" customWidth="1"/>
    <col min="2537" max="2537" width="8.85546875" style="1" customWidth="1"/>
    <col min="2538" max="2538" width="15.28515625" style="1" customWidth="1"/>
    <col min="2539" max="2539" width="15.7109375" style="1" customWidth="1"/>
    <col min="2540" max="2542" width="17.140625" style="1" customWidth="1"/>
    <col min="2543" max="2543" width="35.7109375" style="1" customWidth="1"/>
    <col min="2544" max="2544" width="28.5703125" style="1" customWidth="1"/>
    <col min="2545" max="2545" width="17.140625" style="1" customWidth="1"/>
    <col min="2546" max="2546" width="28.5703125" style="1" customWidth="1"/>
    <col min="2547" max="2775" width="9.140625" style="1"/>
    <col min="2776" max="2776" width="11.42578125" style="1" customWidth="1"/>
    <col min="2777" max="2777" width="25.140625" style="1" customWidth="1"/>
    <col min="2778" max="2778" width="42.7109375" style="1" customWidth="1"/>
    <col min="2779" max="2779" width="9.28515625" style="1" customWidth="1"/>
    <col min="2780" max="2780" width="13.85546875" style="1" customWidth="1"/>
    <col min="2781" max="2781" width="10.42578125" style="1" customWidth="1"/>
    <col min="2782" max="2782" width="16.7109375" style="1" customWidth="1"/>
    <col min="2783" max="2783" width="16.28515625" style="1" customWidth="1"/>
    <col min="2784" max="2784" width="14.42578125" style="1" customWidth="1"/>
    <col min="2785" max="2785" width="14.85546875" style="1" customWidth="1"/>
    <col min="2786" max="2786" width="13" style="1" customWidth="1"/>
    <col min="2787" max="2787" width="18.7109375" style="1" customWidth="1"/>
    <col min="2788" max="2788" width="6" style="1" customWidth="1"/>
    <col min="2789" max="2789" width="15.28515625" style="1" customWidth="1"/>
    <col min="2790" max="2790" width="28" style="1" customWidth="1"/>
    <col min="2791" max="2791" width="13.5703125" style="1" customWidth="1"/>
    <col min="2792" max="2792" width="15.5703125" style="1" customWidth="1"/>
    <col min="2793" max="2793" width="8.85546875" style="1" customWidth="1"/>
    <col min="2794" max="2794" width="15.28515625" style="1" customWidth="1"/>
    <col min="2795" max="2795" width="15.7109375" style="1" customWidth="1"/>
    <col min="2796" max="2798" width="17.140625" style="1" customWidth="1"/>
    <col min="2799" max="2799" width="35.7109375" style="1" customWidth="1"/>
    <col min="2800" max="2800" width="28.5703125" style="1" customWidth="1"/>
    <col min="2801" max="2801" width="17.140625" style="1" customWidth="1"/>
    <col min="2802" max="2802" width="28.5703125" style="1" customWidth="1"/>
    <col min="2803" max="3031" width="9.140625" style="1"/>
    <col min="3032" max="3032" width="11.42578125" style="1" customWidth="1"/>
    <col min="3033" max="3033" width="25.140625" style="1" customWidth="1"/>
    <col min="3034" max="3034" width="42.7109375" style="1" customWidth="1"/>
    <col min="3035" max="3035" width="9.28515625" style="1" customWidth="1"/>
    <col min="3036" max="3036" width="13.85546875" style="1" customWidth="1"/>
    <col min="3037" max="3037" width="10.42578125" style="1" customWidth="1"/>
    <col min="3038" max="3038" width="16.7109375" style="1" customWidth="1"/>
    <col min="3039" max="3039" width="16.28515625" style="1" customWidth="1"/>
    <col min="3040" max="3040" width="14.42578125" style="1" customWidth="1"/>
    <col min="3041" max="3041" width="14.85546875" style="1" customWidth="1"/>
    <col min="3042" max="3042" width="13" style="1" customWidth="1"/>
    <col min="3043" max="3043" width="18.7109375" style="1" customWidth="1"/>
    <col min="3044" max="3044" width="6" style="1" customWidth="1"/>
    <col min="3045" max="3045" width="15.28515625" style="1" customWidth="1"/>
    <col min="3046" max="3046" width="28" style="1" customWidth="1"/>
    <col min="3047" max="3047" width="13.5703125" style="1" customWidth="1"/>
    <col min="3048" max="3048" width="15.5703125" style="1" customWidth="1"/>
    <col min="3049" max="3049" width="8.85546875" style="1" customWidth="1"/>
    <col min="3050" max="3050" width="15.28515625" style="1" customWidth="1"/>
    <col min="3051" max="3051" width="15.7109375" style="1" customWidth="1"/>
    <col min="3052" max="3054" width="17.140625" style="1" customWidth="1"/>
    <col min="3055" max="3055" width="35.7109375" style="1" customWidth="1"/>
    <col min="3056" max="3056" width="28.5703125" style="1" customWidth="1"/>
    <col min="3057" max="3057" width="17.140625" style="1" customWidth="1"/>
    <col min="3058" max="3058" width="28.5703125" style="1" customWidth="1"/>
    <col min="3059" max="3287" width="9.140625" style="1"/>
    <col min="3288" max="3288" width="11.42578125" style="1" customWidth="1"/>
    <col min="3289" max="3289" width="25.140625" style="1" customWidth="1"/>
    <col min="3290" max="3290" width="42.7109375" style="1" customWidth="1"/>
    <col min="3291" max="3291" width="9.28515625" style="1" customWidth="1"/>
    <col min="3292" max="3292" width="13.85546875" style="1" customWidth="1"/>
    <col min="3293" max="3293" width="10.42578125" style="1" customWidth="1"/>
    <col min="3294" max="3294" width="16.7109375" style="1" customWidth="1"/>
    <col min="3295" max="3295" width="16.28515625" style="1" customWidth="1"/>
    <col min="3296" max="3296" width="14.42578125" style="1" customWidth="1"/>
    <col min="3297" max="3297" width="14.85546875" style="1" customWidth="1"/>
    <col min="3298" max="3298" width="13" style="1" customWidth="1"/>
    <col min="3299" max="3299" width="18.7109375" style="1" customWidth="1"/>
    <col min="3300" max="3300" width="6" style="1" customWidth="1"/>
    <col min="3301" max="3301" width="15.28515625" style="1" customWidth="1"/>
    <col min="3302" max="3302" width="28" style="1" customWidth="1"/>
    <col min="3303" max="3303" width="13.5703125" style="1" customWidth="1"/>
    <col min="3304" max="3304" width="15.5703125" style="1" customWidth="1"/>
    <col min="3305" max="3305" width="8.85546875" style="1" customWidth="1"/>
    <col min="3306" max="3306" width="15.28515625" style="1" customWidth="1"/>
    <col min="3307" max="3307" width="15.7109375" style="1" customWidth="1"/>
    <col min="3308" max="3310" width="17.140625" style="1" customWidth="1"/>
    <col min="3311" max="3311" width="35.7109375" style="1" customWidth="1"/>
    <col min="3312" max="3312" width="28.5703125" style="1" customWidth="1"/>
    <col min="3313" max="3313" width="17.140625" style="1" customWidth="1"/>
    <col min="3314" max="3314" width="28.5703125" style="1" customWidth="1"/>
    <col min="3315" max="3543" width="9.140625" style="1"/>
    <col min="3544" max="3544" width="11.42578125" style="1" customWidth="1"/>
    <col min="3545" max="3545" width="25.140625" style="1" customWidth="1"/>
    <col min="3546" max="3546" width="42.7109375" style="1" customWidth="1"/>
    <col min="3547" max="3547" width="9.28515625" style="1" customWidth="1"/>
    <col min="3548" max="3548" width="13.85546875" style="1" customWidth="1"/>
    <col min="3549" max="3549" width="10.42578125" style="1" customWidth="1"/>
    <col min="3550" max="3550" width="16.7109375" style="1" customWidth="1"/>
    <col min="3551" max="3551" width="16.28515625" style="1" customWidth="1"/>
    <col min="3552" max="3552" width="14.42578125" style="1" customWidth="1"/>
    <col min="3553" max="3553" width="14.85546875" style="1" customWidth="1"/>
    <col min="3554" max="3554" width="13" style="1" customWidth="1"/>
    <col min="3555" max="3555" width="18.7109375" style="1" customWidth="1"/>
    <col min="3556" max="3556" width="6" style="1" customWidth="1"/>
    <col min="3557" max="3557" width="15.28515625" style="1" customWidth="1"/>
    <col min="3558" max="3558" width="28" style="1" customWidth="1"/>
    <col min="3559" max="3559" width="13.5703125" style="1" customWidth="1"/>
    <col min="3560" max="3560" width="15.5703125" style="1" customWidth="1"/>
    <col min="3561" max="3561" width="8.85546875" style="1" customWidth="1"/>
    <col min="3562" max="3562" width="15.28515625" style="1" customWidth="1"/>
    <col min="3563" max="3563" width="15.7109375" style="1" customWidth="1"/>
    <col min="3564" max="3566" width="17.140625" style="1" customWidth="1"/>
    <col min="3567" max="3567" width="35.7109375" style="1" customWidth="1"/>
    <col min="3568" max="3568" width="28.5703125" style="1" customWidth="1"/>
    <col min="3569" max="3569" width="17.140625" style="1" customWidth="1"/>
    <col min="3570" max="3570" width="28.5703125" style="1" customWidth="1"/>
    <col min="3571" max="3799" width="9.140625" style="1"/>
    <col min="3800" max="3800" width="11.42578125" style="1" customWidth="1"/>
    <col min="3801" max="3801" width="25.140625" style="1" customWidth="1"/>
    <col min="3802" max="3802" width="42.7109375" style="1" customWidth="1"/>
    <col min="3803" max="3803" width="9.28515625" style="1" customWidth="1"/>
    <col min="3804" max="3804" width="13.85546875" style="1" customWidth="1"/>
    <col min="3805" max="3805" width="10.42578125" style="1" customWidth="1"/>
    <col min="3806" max="3806" width="16.7109375" style="1" customWidth="1"/>
    <col min="3807" max="3807" width="16.28515625" style="1" customWidth="1"/>
    <col min="3808" max="3808" width="14.42578125" style="1" customWidth="1"/>
    <col min="3809" max="3809" width="14.85546875" style="1" customWidth="1"/>
    <col min="3810" max="3810" width="13" style="1" customWidth="1"/>
    <col min="3811" max="3811" width="18.7109375" style="1" customWidth="1"/>
    <col min="3812" max="3812" width="6" style="1" customWidth="1"/>
    <col min="3813" max="3813" width="15.28515625" style="1" customWidth="1"/>
    <col min="3814" max="3814" width="28" style="1" customWidth="1"/>
    <col min="3815" max="3815" width="13.5703125" style="1" customWidth="1"/>
    <col min="3816" max="3816" width="15.5703125" style="1" customWidth="1"/>
    <col min="3817" max="3817" width="8.85546875" style="1" customWidth="1"/>
    <col min="3818" max="3818" width="15.28515625" style="1" customWidth="1"/>
    <col min="3819" max="3819" width="15.7109375" style="1" customWidth="1"/>
    <col min="3820" max="3822" width="17.140625" style="1" customWidth="1"/>
    <col min="3823" max="3823" width="35.7109375" style="1" customWidth="1"/>
    <col min="3824" max="3824" width="28.5703125" style="1" customWidth="1"/>
    <col min="3825" max="3825" width="17.140625" style="1" customWidth="1"/>
    <col min="3826" max="3826" width="28.5703125" style="1" customWidth="1"/>
    <col min="3827" max="4055" width="9.140625" style="1"/>
    <col min="4056" max="4056" width="11.42578125" style="1" customWidth="1"/>
    <col min="4057" max="4057" width="25.140625" style="1" customWidth="1"/>
    <col min="4058" max="4058" width="42.7109375" style="1" customWidth="1"/>
    <col min="4059" max="4059" width="9.28515625" style="1" customWidth="1"/>
    <col min="4060" max="4060" width="13.85546875" style="1" customWidth="1"/>
    <col min="4061" max="4061" width="10.42578125" style="1" customWidth="1"/>
    <col min="4062" max="4062" width="16.7109375" style="1" customWidth="1"/>
    <col min="4063" max="4063" width="16.28515625" style="1" customWidth="1"/>
    <col min="4064" max="4064" width="14.42578125" style="1" customWidth="1"/>
    <col min="4065" max="4065" width="14.85546875" style="1" customWidth="1"/>
    <col min="4066" max="4066" width="13" style="1" customWidth="1"/>
    <col min="4067" max="4067" width="18.7109375" style="1" customWidth="1"/>
    <col min="4068" max="4068" width="6" style="1" customWidth="1"/>
    <col min="4069" max="4069" width="15.28515625" style="1" customWidth="1"/>
    <col min="4070" max="4070" width="28" style="1" customWidth="1"/>
    <col min="4071" max="4071" width="13.5703125" style="1" customWidth="1"/>
    <col min="4072" max="4072" width="15.5703125" style="1" customWidth="1"/>
    <col min="4073" max="4073" width="8.85546875" style="1" customWidth="1"/>
    <col min="4074" max="4074" width="15.28515625" style="1" customWidth="1"/>
    <col min="4075" max="4075" width="15.7109375" style="1" customWidth="1"/>
    <col min="4076" max="4078" width="17.140625" style="1" customWidth="1"/>
    <col min="4079" max="4079" width="35.7109375" style="1" customWidth="1"/>
    <col min="4080" max="4080" width="28.5703125" style="1" customWidth="1"/>
    <col min="4081" max="4081" width="17.140625" style="1" customWidth="1"/>
    <col min="4082" max="4082" width="28.5703125" style="1" customWidth="1"/>
    <col min="4083" max="4311" width="9.140625" style="1"/>
    <col min="4312" max="4312" width="11.42578125" style="1" customWidth="1"/>
    <col min="4313" max="4313" width="25.140625" style="1" customWidth="1"/>
    <col min="4314" max="4314" width="42.7109375" style="1" customWidth="1"/>
    <col min="4315" max="4315" width="9.28515625" style="1" customWidth="1"/>
    <col min="4316" max="4316" width="13.85546875" style="1" customWidth="1"/>
    <col min="4317" max="4317" width="10.42578125" style="1" customWidth="1"/>
    <col min="4318" max="4318" width="16.7109375" style="1" customWidth="1"/>
    <col min="4319" max="4319" width="16.28515625" style="1" customWidth="1"/>
    <col min="4320" max="4320" width="14.42578125" style="1" customWidth="1"/>
    <col min="4321" max="4321" width="14.85546875" style="1" customWidth="1"/>
    <col min="4322" max="4322" width="13" style="1" customWidth="1"/>
    <col min="4323" max="4323" width="18.7109375" style="1" customWidth="1"/>
    <col min="4324" max="4324" width="6" style="1" customWidth="1"/>
    <col min="4325" max="4325" width="15.28515625" style="1" customWidth="1"/>
    <col min="4326" max="4326" width="28" style="1" customWidth="1"/>
    <col min="4327" max="4327" width="13.5703125" style="1" customWidth="1"/>
    <col min="4328" max="4328" width="15.5703125" style="1" customWidth="1"/>
    <col min="4329" max="4329" width="8.85546875" style="1" customWidth="1"/>
    <col min="4330" max="4330" width="15.28515625" style="1" customWidth="1"/>
    <col min="4331" max="4331" width="15.7109375" style="1" customWidth="1"/>
    <col min="4332" max="4334" width="17.140625" style="1" customWidth="1"/>
    <col min="4335" max="4335" width="35.7109375" style="1" customWidth="1"/>
    <col min="4336" max="4336" width="28.5703125" style="1" customWidth="1"/>
    <col min="4337" max="4337" width="17.140625" style="1" customWidth="1"/>
    <col min="4338" max="4338" width="28.5703125" style="1" customWidth="1"/>
    <col min="4339" max="4567" width="9.140625" style="1"/>
    <col min="4568" max="4568" width="11.42578125" style="1" customWidth="1"/>
    <col min="4569" max="4569" width="25.140625" style="1" customWidth="1"/>
    <col min="4570" max="4570" width="42.7109375" style="1" customWidth="1"/>
    <col min="4571" max="4571" width="9.28515625" style="1" customWidth="1"/>
    <col min="4572" max="4572" width="13.85546875" style="1" customWidth="1"/>
    <col min="4573" max="4573" width="10.42578125" style="1" customWidth="1"/>
    <col min="4574" max="4574" width="16.7109375" style="1" customWidth="1"/>
    <col min="4575" max="4575" width="16.28515625" style="1" customWidth="1"/>
    <col min="4576" max="4576" width="14.42578125" style="1" customWidth="1"/>
    <col min="4577" max="4577" width="14.85546875" style="1" customWidth="1"/>
    <col min="4578" max="4578" width="13" style="1" customWidth="1"/>
    <col min="4579" max="4579" width="18.7109375" style="1" customWidth="1"/>
    <col min="4580" max="4580" width="6" style="1" customWidth="1"/>
    <col min="4581" max="4581" width="15.28515625" style="1" customWidth="1"/>
    <col min="4582" max="4582" width="28" style="1" customWidth="1"/>
    <col min="4583" max="4583" width="13.5703125" style="1" customWidth="1"/>
    <col min="4584" max="4584" width="15.5703125" style="1" customWidth="1"/>
    <col min="4585" max="4585" width="8.85546875" style="1" customWidth="1"/>
    <col min="4586" max="4586" width="15.28515625" style="1" customWidth="1"/>
    <col min="4587" max="4587" width="15.7109375" style="1" customWidth="1"/>
    <col min="4588" max="4590" width="17.140625" style="1" customWidth="1"/>
    <col min="4591" max="4591" width="35.7109375" style="1" customWidth="1"/>
    <col min="4592" max="4592" width="28.5703125" style="1" customWidth="1"/>
    <col min="4593" max="4593" width="17.140625" style="1" customWidth="1"/>
    <col min="4594" max="4594" width="28.5703125" style="1" customWidth="1"/>
    <col min="4595" max="4823" width="9.140625" style="1"/>
    <col min="4824" max="4824" width="11.42578125" style="1" customWidth="1"/>
    <col min="4825" max="4825" width="25.140625" style="1" customWidth="1"/>
    <col min="4826" max="4826" width="42.7109375" style="1" customWidth="1"/>
    <col min="4827" max="4827" width="9.28515625" style="1" customWidth="1"/>
    <col min="4828" max="4828" width="13.85546875" style="1" customWidth="1"/>
    <col min="4829" max="4829" width="10.42578125" style="1" customWidth="1"/>
    <col min="4830" max="4830" width="16.7109375" style="1" customWidth="1"/>
    <col min="4831" max="4831" width="16.28515625" style="1" customWidth="1"/>
    <col min="4832" max="4832" width="14.42578125" style="1" customWidth="1"/>
    <col min="4833" max="4833" width="14.85546875" style="1" customWidth="1"/>
    <col min="4834" max="4834" width="13" style="1" customWidth="1"/>
    <col min="4835" max="4835" width="18.7109375" style="1" customWidth="1"/>
    <col min="4836" max="4836" width="6" style="1" customWidth="1"/>
    <col min="4837" max="4837" width="15.28515625" style="1" customWidth="1"/>
    <col min="4838" max="4838" width="28" style="1" customWidth="1"/>
    <col min="4839" max="4839" width="13.5703125" style="1" customWidth="1"/>
    <col min="4840" max="4840" width="15.5703125" style="1" customWidth="1"/>
    <col min="4841" max="4841" width="8.85546875" style="1" customWidth="1"/>
    <col min="4842" max="4842" width="15.28515625" style="1" customWidth="1"/>
    <col min="4843" max="4843" width="15.7109375" style="1" customWidth="1"/>
    <col min="4844" max="4846" width="17.140625" style="1" customWidth="1"/>
    <col min="4847" max="4847" width="35.7109375" style="1" customWidth="1"/>
    <col min="4848" max="4848" width="28.5703125" style="1" customWidth="1"/>
    <col min="4849" max="4849" width="17.140625" style="1" customWidth="1"/>
    <col min="4850" max="4850" width="28.5703125" style="1" customWidth="1"/>
    <col min="4851" max="5079" width="9.140625" style="1"/>
    <col min="5080" max="5080" width="11.42578125" style="1" customWidth="1"/>
    <col min="5081" max="5081" width="25.140625" style="1" customWidth="1"/>
    <col min="5082" max="5082" width="42.7109375" style="1" customWidth="1"/>
    <col min="5083" max="5083" width="9.28515625" style="1" customWidth="1"/>
    <col min="5084" max="5084" width="13.85546875" style="1" customWidth="1"/>
    <col min="5085" max="5085" width="10.42578125" style="1" customWidth="1"/>
    <col min="5086" max="5086" width="16.7109375" style="1" customWidth="1"/>
    <col min="5087" max="5087" width="16.28515625" style="1" customWidth="1"/>
    <col min="5088" max="5088" width="14.42578125" style="1" customWidth="1"/>
    <col min="5089" max="5089" width="14.85546875" style="1" customWidth="1"/>
    <col min="5090" max="5090" width="13" style="1" customWidth="1"/>
    <col min="5091" max="5091" width="18.7109375" style="1" customWidth="1"/>
    <col min="5092" max="5092" width="6" style="1" customWidth="1"/>
    <col min="5093" max="5093" width="15.28515625" style="1" customWidth="1"/>
    <col min="5094" max="5094" width="28" style="1" customWidth="1"/>
    <col min="5095" max="5095" width="13.5703125" style="1" customWidth="1"/>
    <col min="5096" max="5096" width="15.5703125" style="1" customWidth="1"/>
    <col min="5097" max="5097" width="8.85546875" style="1" customWidth="1"/>
    <col min="5098" max="5098" width="15.28515625" style="1" customWidth="1"/>
    <col min="5099" max="5099" width="15.7109375" style="1" customWidth="1"/>
    <col min="5100" max="5102" width="17.140625" style="1" customWidth="1"/>
    <col min="5103" max="5103" width="35.7109375" style="1" customWidth="1"/>
    <col min="5104" max="5104" width="28.5703125" style="1" customWidth="1"/>
    <col min="5105" max="5105" width="17.140625" style="1" customWidth="1"/>
    <col min="5106" max="5106" width="28.5703125" style="1" customWidth="1"/>
    <col min="5107" max="5335" width="9.140625" style="1"/>
    <col min="5336" max="5336" width="11.42578125" style="1" customWidth="1"/>
    <col min="5337" max="5337" width="25.140625" style="1" customWidth="1"/>
    <col min="5338" max="5338" width="42.7109375" style="1" customWidth="1"/>
    <col min="5339" max="5339" width="9.28515625" style="1" customWidth="1"/>
    <col min="5340" max="5340" width="13.85546875" style="1" customWidth="1"/>
    <col min="5341" max="5341" width="10.42578125" style="1" customWidth="1"/>
    <col min="5342" max="5342" width="16.7109375" style="1" customWidth="1"/>
    <col min="5343" max="5343" width="16.28515625" style="1" customWidth="1"/>
    <col min="5344" max="5344" width="14.42578125" style="1" customWidth="1"/>
    <col min="5345" max="5345" width="14.85546875" style="1" customWidth="1"/>
    <col min="5346" max="5346" width="13" style="1" customWidth="1"/>
    <col min="5347" max="5347" width="18.7109375" style="1" customWidth="1"/>
    <col min="5348" max="5348" width="6" style="1" customWidth="1"/>
    <col min="5349" max="5349" width="15.28515625" style="1" customWidth="1"/>
    <col min="5350" max="5350" width="28" style="1" customWidth="1"/>
    <col min="5351" max="5351" width="13.5703125" style="1" customWidth="1"/>
    <col min="5352" max="5352" width="15.5703125" style="1" customWidth="1"/>
    <col min="5353" max="5353" width="8.85546875" style="1" customWidth="1"/>
    <col min="5354" max="5354" width="15.28515625" style="1" customWidth="1"/>
    <col min="5355" max="5355" width="15.7109375" style="1" customWidth="1"/>
    <col min="5356" max="5358" width="17.140625" style="1" customWidth="1"/>
    <col min="5359" max="5359" width="35.7109375" style="1" customWidth="1"/>
    <col min="5360" max="5360" width="28.5703125" style="1" customWidth="1"/>
    <col min="5361" max="5361" width="17.140625" style="1" customWidth="1"/>
    <col min="5362" max="5362" width="28.5703125" style="1" customWidth="1"/>
    <col min="5363" max="5591" width="9.140625" style="1"/>
    <col min="5592" max="5592" width="11.42578125" style="1" customWidth="1"/>
    <col min="5593" max="5593" width="25.140625" style="1" customWidth="1"/>
    <col min="5594" max="5594" width="42.7109375" style="1" customWidth="1"/>
    <col min="5595" max="5595" width="9.28515625" style="1" customWidth="1"/>
    <col min="5596" max="5596" width="13.85546875" style="1" customWidth="1"/>
    <col min="5597" max="5597" width="10.42578125" style="1" customWidth="1"/>
    <col min="5598" max="5598" width="16.7109375" style="1" customWidth="1"/>
    <col min="5599" max="5599" width="16.28515625" style="1" customWidth="1"/>
    <col min="5600" max="5600" width="14.42578125" style="1" customWidth="1"/>
    <col min="5601" max="5601" width="14.85546875" style="1" customWidth="1"/>
    <col min="5602" max="5602" width="13" style="1" customWidth="1"/>
    <col min="5603" max="5603" width="18.7109375" style="1" customWidth="1"/>
    <col min="5604" max="5604" width="6" style="1" customWidth="1"/>
    <col min="5605" max="5605" width="15.28515625" style="1" customWidth="1"/>
    <col min="5606" max="5606" width="28" style="1" customWidth="1"/>
    <col min="5607" max="5607" width="13.5703125" style="1" customWidth="1"/>
    <col min="5608" max="5608" width="15.5703125" style="1" customWidth="1"/>
    <col min="5609" max="5609" width="8.85546875" style="1" customWidth="1"/>
    <col min="5610" max="5610" width="15.28515625" style="1" customWidth="1"/>
    <col min="5611" max="5611" width="15.7109375" style="1" customWidth="1"/>
    <col min="5612" max="5614" width="17.140625" style="1" customWidth="1"/>
    <col min="5615" max="5615" width="35.7109375" style="1" customWidth="1"/>
    <col min="5616" max="5616" width="28.5703125" style="1" customWidth="1"/>
    <col min="5617" max="5617" width="17.140625" style="1" customWidth="1"/>
    <col min="5618" max="5618" width="28.5703125" style="1" customWidth="1"/>
    <col min="5619" max="5847" width="9.140625" style="1"/>
    <col min="5848" max="5848" width="11.42578125" style="1" customWidth="1"/>
    <col min="5849" max="5849" width="25.140625" style="1" customWidth="1"/>
    <col min="5850" max="5850" width="42.7109375" style="1" customWidth="1"/>
    <col min="5851" max="5851" width="9.28515625" style="1" customWidth="1"/>
    <col min="5852" max="5852" width="13.85546875" style="1" customWidth="1"/>
    <col min="5853" max="5853" width="10.42578125" style="1" customWidth="1"/>
    <col min="5854" max="5854" width="16.7109375" style="1" customWidth="1"/>
    <col min="5855" max="5855" width="16.28515625" style="1" customWidth="1"/>
    <col min="5856" max="5856" width="14.42578125" style="1" customWidth="1"/>
    <col min="5857" max="5857" width="14.85546875" style="1" customWidth="1"/>
    <col min="5858" max="5858" width="13" style="1" customWidth="1"/>
    <col min="5859" max="5859" width="18.7109375" style="1" customWidth="1"/>
    <col min="5860" max="5860" width="6" style="1" customWidth="1"/>
    <col min="5861" max="5861" width="15.28515625" style="1" customWidth="1"/>
    <col min="5862" max="5862" width="28" style="1" customWidth="1"/>
    <col min="5863" max="5863" width="13.5703125" style="1" customWidth="1"/>
    <col min="5864" max="5864" width="15.5703125" style="1" customWidth="1"/>
    <col min="5865" max="5865" width="8.85546875" style="1" customWidth="1"/>
    <col min="5866" max="5866" width="15.28515625" style="1" customWidth="1"/>
    <col min="5867" max="5867" width="15.7109375" style="1" customWidth="1"/>
    <col min="5868" max="5870" width="17.140625" style="1" customWidth="1"/>
    <col min="5871" max="5871" width="35.7109375" style="1" customWidth="1"/>
    <col min="5872" max="5872" width="28.5703125" style="1" customWidth="1"/>
    <col min="5873" max="5873" width="17.140625" style="1" customWidth="1"/>
    <col min="5874" max="5874" width="28.5703125" style="1" customWidth="1"/>
    <col min="5875" max="6103" width="9.140625" style="1"/>
    <col min="6104" max="6104" width="11.42578125" style="1" customWidth="1"/>
    <col min="6105" max="6105" width="25.140625" style="1" customWidth="1"/>
    <col min="6106" max="6106" width="42.7109375" style="1" customWidth="1"/>
    <col min="6107" max="6107" width="9.28515625" style="1" customWidth="1"/>
    <col min="6108" max="6108" width="13.85546875" style="1" customWidth="1"/>
    <col min="6109" max="6109" width="10.42578125" style="1" customWidth="1"/>
    <col min="6110" max="6110" width="16.7109375" style="1" customWidth="1"/>
    <col min="6111" max="6111" width="16.28515625" style="1" customWidth="1"/>
    <col min="6112" max="6112" width="14.42578125" style="1" customWidth="1"/>
    <col min="6113" max="6113" width="14.85546875" style="1" customWidth="1"/>
    <col min="6114" max="6114" width="13" style="1" customWidth="1"/>
    <col min="6115" max="6115" width="18.7109375" style="1" customWidth="1"/>
    <col min="6116" max="6116" width="6" style="1" customWidth="1"/>
    <col min="6117" max="6117" width="15.28515625" style="1" customWidth="1"/>
    <col min="6118" max="6118" width="28" style="1" customWidth="1"/>
    <col min="6119" max="6119" width="13.5703125" style="1" customWidth="1"/>
    <col min="6120" max="6120" width="15.5703125" style="1" customWidth="1"/>
    <col min="6121" max="6121" width="8.85546875" style="1" customWidth="1"/>
    <col min="6122" max="6122" width="15.28515625" style="1" customWidth="1"/>
    <col min="6123" max="6123" width="15.7109375" style="1" customWidth="1"/>
    <col min="6124" max="6126" width="17.140625" style="1" customWidth="1"/>
    <col min="6127" max="6127" width="35.7109375" style="1" customWidth="1"/>
    <col min="6128" max="6128" width="28.5703125" style="1" customWidth="1"/>
    <col min="6129" max="6129" width="17.140625" style="1" customWidth="1"/>
    <col min="6130" max="6130" width="28.5703125" style="1" customWidth="1"/>
    <col min="6131" max="6359" width="9.140625" style="1"/>
    <col min="6360" max="6360" width="11.42578125" style="1" customWidth="1"/>
    <col min="6361" max="6361" width="25.140625" style="1" customWidth="1"/>
    <col min="6362" max="6362" width="42.7109375" style="1" customWidth="1"/>
    <col min="6363" max="6363" width="9.28515625" style="1" customWidth="1"/>
    <col min="6364" max="6364" width="13.85546875" style="1" customWidth="1"/>
    <col min="6365" max="6365" width="10.42578125" style="1" customWidth="1"/>
    <col min="6366" max="6366" width="16.7109375" style="1" customWidth="1"/>
    <col min="6367" max="6367" width="16.28515625" style="1" customWidth="1"/>
    <col min="6368" max="6368" width="14.42578125" style="1" customWidth="1"/>
    <col min="6369" max="6369" width="14.85546875" style="1" customWidth="1"/>
    <col min="6370" max="6370" width="13" style="1" customWidth="1"/>
    <col min="6371" max="6371" width="18.7109375" style="1" customWidth="1"/>
    <col min="6372" max="6372" width="6" style="1" customWidth="1"/>
    <col min="6373" max="6373" width="15.28515625" style="1" customWidth="1"/>
    <col min="6374" max="6374" width="28" style="1" customWidth="1"/>
    <col min="6375" max="6375" width="13.5703125" style="1" customWidth="1"/>
    <col min="6376" max="6376" width="15.5703125" style="1" customWidth="1"/>
    <col min="6377" max="6377" width="8.85546875" style="1" customWidth="1"/>
    <col min="6378" max="6378" width="15.28515625" style="1" customWidth="1"/>
    <col min="6379" max="6379" width="15.7109375" style="1" customWidth="1"/>
    <col min="6380" max="6382" width="17.140625" style="1" customWidth="1"/>
    <col min="6383" max="6383" width="35.7109375" style="1" customWidth="1"/>
    <col min="6384" max="6384" width="28.5703125" style="1" customWidth="1"/>
    <col min="6385" max="6385" width="17.140625" style="1" customWidth="1"/>
    <col min="6386" max="6386" width="28.5703125" style="1" customWidth="1"/>
    <col min="6387" max="6615" width="9.140625" style="1"/>
    <col min="6616" max="6616" width="11.42578125" style="1" customWidth="1"/>
    <col min="6617" max="6617" width="25.140625" style="1" customWidth="1"/>
    <col min="6618" max="6618" width="42.7109375" style="1" customWidth="1"/>
    <col min="6619" max="6619" width="9.28515625" style="1" customWidth="1"/>
    <col min="6620" max="6620" width="13.85546875" style="1" customWidth="1"/>
    <col min="6621" max="6621" width="10.42578125" style="1" customWidth="1"/>
    <col min="6622" max="6622" width="16.7109375" style="1" customWidth="1"/>
    <col min="6623" max="6623" width="16.28515625" style="1" customWidth="1"/>
    <col min="6624" max="6624" width="14.42578125" style="1" customWidth="1"/>
    <col min="6625" max="6625" width="14.85546875" style="1" customWidth="1"/>
    <col min="6626" max="6626" width="13" style="1" customWidth="1"/>
    <col min="6627" max="6627" width="18.7109375" style="1" customWidth="1"/>
    <col min="6628" max="6628" width="6" style="1" customWidth="1"/>
    <col min="6629" max="6629" width="15.28515625" style="1" customWidth="1"/>
    <col min="6630" max="6630" width="28" style="1" customWidth="1"/>
    <col min="6631" max="6631" width="13.5703125" style="1" customWidth="1"/>
    <col min="6632" max="6632" width="15.5703125" style="1" customWidth="1"/>
    <col min="6633" max="6633" width="8.85546875" style="1" customWidth="1"/>
    <col min="6634" max="6634" width="15.28515625" style="1" customWidth="1"/>
    <col min="6635" max="6635" width="15.7109375" style="1" customWidth="1"/>
    <col min="6636" max="6638" width="17.140625" style="1" customWidth="1"/>
    <col min="6639" max="6639" width="35.7109375" style="1" customWidth="1"/>
    <col min="6640" max="6640" width="28.5703125" style="1" customWidth="1"/>
    <col min="6641" max="6641" width="17.140625" style="1" customWidth="1"/>
    <col min="6642" max="6642" width="28.5703125" style="1" customWidth="1"/>
    <col min="6643" max="6871" width="9.140625" style="1"/>
    <col min="6872" max="6872" width="11.42578125" style="1" customWidth="1"/>
    <col min="6873" max="6873" width="25.140625" style="1" customWidth="1"/>
    <col min="6874" max="6874" width="42.7109375" style="1" customWidth="1"/>
    <col min="6875" max="6875" width="9.28515625" style="1" customWidth="1"/>
    <col min="6876" max="6876" width="13.85546875" style="1" customWidth="1"/>
    <col min="6877" max="6877" width="10.42578125" style="1" customWidth="1"/>
    <col min="6878" max="6878" width="16.7109375" style="1" customWidth="1"/>
    <col min="6879" max="6879" width="16.28515625" style="1" customWidth="1"/>
    <col min="6880" max="6880" width="14.42578125" style="1" customWidth="1"/>
    <col min="6881" max="6881" width="14.85546875" style="1" customWidth="1"/>
    <col min="6882" max="6882" width="13" style="1" customWidth="1"/>
    <col min="6883" max="6883" width="18.7109375" style="1" customWidth="1"/>
    <col min="6884" max="6884" width="6" style="1" customWidth="1"/>
    <col min="6885" max="6885" width="15.28515625" style="1" customWidth="1"/>
    <col min="6886" max="6886" width="28" style="1" customWidth="1"/>
    <col min="6887" max="6887" width="13.5703125" style="1" customWidth="1"/>
    <col min="6888" max="6888" width="15.5703125" style="1" customWidth="1"/>
    <col min="6889" max="6889" width="8.85546875" style="1" customWidth="1"/>
    <col min="6890" max="6890" width="15.28515625" style="1" customWidth="1"/>
    <col min="6891" max="6891" width="15.7109375" style="1" customWidth="1"/>
    <col min="6892" max="6894" width="17.140625" style="1" customWidth="1"/>
    <col min="6895" max="6895" width="35.7109375" style="1" customWidth="1"/>
    <col min="6896" max="6896" width="28.5703125" style="1" customWidth="1"/>
    <col min="6897" max="6897" width="17.140625" style="1" customWidth="1"/>
    <col min="6898" max="6898" width="28.5703125" style="1" customWidth="1"/>
    <col min="6899" max="7127" width="9.140625" style="1"/>
    <col min="7128" max="7128" width="11.42578125" style="1" customWidth="1"/>
    <col min="7129" max="7129" width="25.140625" style="1" customWidth="1"/>
    <col min="7130" max="7130" width="42.7109375" style="1" customWidth="1"/>
    <col min="7131" max="7131" width="9.28515625" style="1" customWidth="1"/>
    <col min="7132" max="7132" width="13.85546875" style="1" customWidth="1"/>
    <col min="7133" max="7133" width="10.42578125" style="1" customWidth="1"/>
    <col min="7134" max="7134" width="16.7109375" style="1" customWidth="1"/>
    <col min="7135" max="7135" width="16.28515625" style="1" customWidth="1"/>
    <col min="7136" max="7136" width="14.42578125" style="1" customWidth="1"/>
    <col min="7137" max="7137" width="14.85546875" style="1" customWidth="1"/>
    <col min="7138" max="7138" width="13" style="1" customWidth="1"/>
    <col min="7139" max="7139" width="18.7109375" style="1" customWidth="1"/>
    <col min="7140" max="7140" width="6" style="1" customWidth="1"/>
    <col min="7141" max="7141" width="15.28515625" style="1" customWidth="1"/>
    <col min="7142" max="7142" width="28" style="1" customWidth="1"/>
    <col min="7143" max="7143" width="13.5703125" style="1" customWidth="1"/>
    <col min="7144" max="7144" width="15.5703125" style="1" customWidth="1"/>
    <col min="7145" max="7145" width="8.85546875" style="1" customWidth="1"/>
    <col min="7146" max="7146" width="15.28515625" style="1" customWidth="1"/>
    <col min="7147" max="7147" width="15.7109375" style="1" customWidth="1"/>
    <col min="7148" max="7150" width="17.140625" style="1" customWidth="1"/>
    <col min="7151" max="7151" width="35.7109375" style="1" customWidth="1"/>
    <col min="7152" max="7152" width="28.5703125" style="1" customWidth="1"/>
    <col min="7153" max="7153" width="17.140625" style="1" customWidth="1"/>
    <col min="7154" max="7154" width="28.5703125" style="1" customWidth="1"/>
    <col min="7155" max="7383" width="9.140625" style="1"/>
    <col min="7384" max="7384" width="11.42578125" style="1" customWidth="1"/>
    <col min="7385" max="7385" width="25.140625" style="1" customWidth="1"/>
    <col min="7386" max="7386" width="42.7109375" style="1" customWidth="1"/>
    <col min="7387" max="7387" width="9.28515625" style="1" customWidth="1"/>
    <col min="7388" max="7388" width="13.85546875" style="1" customWidth="1"/>
    <col min="7389" max="7389" width="10.42578125" style="1" customWidth="1"/>
    <col min="7390" max="7390" width="16.7109375" style="1" customWidth="1"/>
    <col min="7391" max="7391" width="16.28515625" style="1" customWidth="1"/>
    <col min="7392" max="7392" width="14.42578125" style="1" customWidth="1"/>
    <col min="7393" max="7393" width="14.85546875" style="1" customWidth="1"/>
    <col min="7394" max="7394" width="13" style="1" customWidth="1"/>
    <col min="7395" max="7395" width="18.7109375" style="1" customWidth="1"/>
    <col min="7396" max="7396" width="6" style="1" customWidth="1"/>
    <col min="7397" max="7397" width="15.28515625" style="1" customWidth="1"/>
    <col min="7398" max="7398" width="28" style="1" customWidth="1"/>
    <col min="7399" max="7399" width="13.5703125" style="1" customWidth="1"/>
    <col min="7400" max="7400" width="15.5703125" style="1" customWidth="1"/>
    <col min="7401" max="7401" width="8.85546875" style="1" customWidth="1"/>
    <col min="7402" max="7402" width="15.28515625" style="1" customWidth="1"/>
    <col min="7403" max="7403" width="15.7109375" style="1" customWidth="1"/>
    <col min="7404" max="7406" width="17.140625" style="1" customWidth="1"/>
    <col min="7407" max="7407" width="35.7109375" style="1" customWidth="1"/>
    <col min="7408" max="7408" width="28.5703125" style="1" customWidth="1"/>
    <col min="7409" max="7409" width="17.140625" style="1" customWidth="1"/>
    <col min="7410" max="7410" width="28.5703125" style="1" customWidth="1"/>
    <col min="7411" max="7639" width="9.140625" style="1"/>
    <col min="7640" max="7640" width="11.42578125" style="1" customWidth="1"/>
    <col min="7641" max="7641" width="25.140625" style="1" customWidth="1"/>
    <col min="7642" max="7642" width="42.7109375" style="1" customWidth="1"/>
    <col min="7643" max="7643" width="9.28515625" style="1" customWidth="1"/>
    <col min="7644" max="7644" width="13.85546875" style="1" customWidth="1"/>
    <col min="7645" max="7645" width="10.42578125" style="1" customWidth="1"/>
    <col min="7646" max="7646" width="16.7109375" style="1" customWidth="1"/>
    <col min="7647" max="7647" width="16.28515625" style="1" customWidth="1"/>
    <col min="7648" max="7648" width="14.42578125" style="1" customWidth="1"/>
    <col min="7649" max="7649" width="14.85546875" style="1" customWidth="1"/>
    <col min="7650" max="7650" width="13" style="1" customWidth="1"/>
    <col min="7651" max="7651" width="18.7109375" style="1" customWidth="1"/>
    <col min="7652" max="7652" width="6" style="1" customWidth="1"/>
    <col min="7653" max="7653" width="15.28515625" style="1" customWidth="1"/>
    <col min="7654" max="7654" width="28" style="1" customWidth="1"/>
    <col min="7655" max="7655" width="13.5703125" style="1" customWidth="1"/>
    <col min="7656" max="7656" width="15.5703125" style="1" customWidth="1"/>
    <col min="7657" max="7657" width="8.85546875" style="1" customWidth="1"/>
    <col min="7658" max="7658" width="15.28515625" style="1" customWidth="1"/>
    <col min="7659" max="7659" width="15.7109375" style="1" customWidth="1"/>
    <col min="7660" max="7662" width="17.140625" style="1" customWidth="1"/>
    <col min="7663" max="7663" width="35.7109375" style="1" customWidth="1"/>
    <col min="7664" max="7664" width="28.5703125" style="1" customWidth="1"/>
    <col min="7665" max="7665" width="17.140625" style="1" customWidth="1"/>
    <col min="7666" max="7666" width="28.5703125" style="1" customWidth="1"/>
    <col min="7667" max="7895" width="9.140625" style="1"/>
    <col min="7896" max="7896" width="11.42578125" style="1" customWidth="1"/>
    <col min="7897" max="7897" width="25.140625" style="1" customWidth="1"/>
    <col min="7898" max="7898" width="42.7109375" style="1" customWidth="1"/>
    <col min="7899" max="7899" width="9.28515625" style="1" customWidth="1"/>
    <col min="7900" max="7900" width="13.85546875" style="1" customWidth="1"/>
    <col min="7901" max="7901" width="10.42578125" style="1" customWidth="1"/>
    <col min="7902" max="7902" width="16.7109375" style="1" customWidth="1"/>
    <col min="7903" max="7903" width="16.28515625" style="1" customWidth="1"/>
    <col min="7904" max="7904" width="14.42578125" style="1" customWidth="1"/>
    <col min="7905" max="7905" width="14.85546875" style="1" customWidth="1"/>
    <col min="7906" max="7906" width="13" style="1" customWidth="1"/>
    <col min="7907" max="7907" width="18.7109375" style="1" customWidth="1"/>
    <col min="7908" max="7908" width="6" style="1" customWidth="1"/>
    <col min="7909" max="7909" width="15.28515625" style="1" customWidth="1"/>
    <col min="7910" max="7910" width="28" style="1" customWidth="1"/>
    <col min="7911" max="7911" width="13.5703125" style="1" customWidth="1"/>
    <col min="7912" max="7912" width="15.5703125" style="1" customWidth="1"/>
    <col min="7913" max="7913" width="8.85546875" style="1" customWidth="1"/>
    <col min="7914" max="7914" width="15.28515625" style="1" customWidth="1"/>
    <col min="7915" max="7915" width="15.7109375" style="1" customWidth="1"/>
    <col min="7916" max="7918" width="17.140625" style="1" customWidth="1"/>
    <col min="7919" max="7919" width="35.7109375" style="1" customWidth="1"/>
    <col min="7920" max="7920" width="28.5703125" style="1" customWidth="1"/>
    <col min="7921" max="7921" width="17.140625" style="1" customWidth="1"/>
    <col min="7922" max="7922" width="28.5703125" style="1" customWidth="1"/>
    <col min="7923" max="8151" width="9.140625" style="1"/>
    <col min="8152" max="8152" width="11.42578125" style="1" customWidth="1"/>
    <col min="8153" max="8153" width="25.140625" style="1" customWidth="1"/>
    <col min="8154" max="8154" width="42.7109375" style="1" customWidth="1"/>
    <col min="8155" max="8155" width="9.28515625" style="1" customWidth="1"/>
    <col min="8156" max="8156" width="13.85546875" style="1" customWidth="1"/>
    <col min="8157" max="8157" width="10.42578125" style="1" customWidth="1"/>
    <col min="8158" max="8158" width="16.7109375" style="1" customWidth="1"/>
    <col min="8159" max="8159" width="16.28515625" style="1" customWidth="1"/>
    <col min="8160" max="8160" width="14.42578125" style="1" customWidth="1"/>
    <col min="8161" max="8161" width="14.85546875" style="1" customWidth="1"/>
    <col min="8162" max="8162" width="13" style="1" customWidth="1"/>
    <col min="8163" max="8163" width="18.7109375" style="1" customWidth="1"/>
    <col min="8164" max="8164" width="6" style="1" customWidth="1"/>
    <col min="8165" max="8165" width="15.28515625" style="1" customWidth="1"/>
    <col min="8166" max="8166" width="28" style="1" customWidth="1"/>
    <col min="8167" max="8167" width="13.5703125" style="1" customWidth="1"/>
    <col min="8168" max="8168" width="15.5703125" style="1" customWidth="1"/>
    <col min="8169" max="8169" width="8.85546875" style="1" customWidth="1"/>
    <col min="8170" max="8170" width="15.28515625" style="1" customWidth="1"/>
    <col min="8171" max="8171" width="15.7109375" style="1" customWidth="1"/>
    <col min="8172" max="8174" width="17.140625" style="1" customWidth="1"/>
    <col min="8175" max="8175" width="35.7109375" style="1" customWidth="1"/>
    <col min="8176" max="8176" width="28.5703125" style="1" customWidth="1"/>
    <col min="8177" max="8177" width="17.140625" style="1" customWidth="1"/>
    <col min="8178" max="8178" width="28.5703125" style="1" customWidth="1"/>
    <col min="8179" max="8407" width="9.140625" style="1"/>
    <col min="8408" max="8408" width="11.42578125" style="1" customWidth="1"/>
    <col min="8409" max="8409" width="25.140625" style="1" customWidth="1"/>
    <col min="8410" max="8410" width="42.7109375" style="1" customWidth="1"/>
    <col min="8411" max="8411" width="9.28515625" style="1" customWidth="1"/>
    <col min="8412" max="8412" width="13.85546875" style="1" customWidth="1"/>
    <col min="8413" max="8413" width="10.42578125" style="1" customWidth="1"/>
    <col min="8414" max="8414" width="16.7109375" style="1" customWidth="1"/>
    <col min="8415" max="8415" width="16.28515625" style="1" customWidth="1"/>
    <col min="8416" max="8416" width="14.42578125" style="1" customWidth="1"/>
    <col min="8417" max="8417" width="14.85546875" style="1" customWidth="1"/>
    <col min="8418" max="8418" width="13" style="1" customWidth="1"/>
    <col min="8419" max="8419" width="18.7109375" style="1" customWidth="1"/>
    <col min="8420" max="8420" width="6" style="1" customWidth="1"/>
    <col min="8421" max="8421" width="15.28515625" style="1" customWidth="1"/>
    <col min="8422" max="8422" width="28" style="1" customWidth="1"/>
    <col min="8423" max="8423" width="13.5703125" style="1" customWidth="1"/>
    <col min="8424" max="8424" width="15.5703125" style="1" customWidth="1"/>
    <col min="8425" max="8425" width="8.85546875" style="1" customWidth="1"/>
    <col min="8426" max="8426" width="15.28515625" style="1" customWidth="1"/>
    <col min="8427" max="8427" width="15.7109375" style="1" customWidth="1"/>
    <col min="8428" max="8430" width="17.140625" style="1" customWidth="1"/>
    <col min="8431" max="8431" width="35.7109375" style="1" customWidth="1"/>
    <col min="8432" max="8432" width="28.5703125" style="1" customWidth="1"/>
    <col min="8433" max="8433" width="17.140625" style="1" customWidth="1"/>
    <col min="8434" max="8434" width="28.5703125" style="1" customWidth="1"/>
    <col min="8435" max="8663" width="9.140625" style="1"/>
    <col min="8664" max="8664" width="11.42578125" style="1" customWidth="1"/>
    <col min="8665" max="8665" width="25.140625" style="1" customWidth="1"/>
    <col min="8666" max="8666" width="42.7109375" style="1" customWidth="1"/>
    <col min="8667" max="8667" width="9.28515625" style="1" customWidth="1"/>
    <col min="8668" max="8668" width="13.85546875" style="1" customWidth="1"/>
    <col min="8669" max="8669" width="10.42578125" style="1" customWidth="1"/>
    <col min="8670" max="8670" width="16.7109375" style="1" customWidth="1"/>
    <col min="8671" max="8671" width="16.28515625" style="1" customWidth="1"/>
    <col min="8672" max="8672" width="14.42578125" style="1" customWidth="1"/>
    <col min="8673" max="8673" width="14.85546875" style="1" customWidth="1"/>
    <col min="8674" max="8674" width="13" style="1" customWidth="1"/>
    <col min="8675" max="8675" width="18.7109375" style="1" customWidth="1"/>
    <col min="8676" max="8676" width="6" style="1" customWidth="1"/>
    <col min="8677" max="8677" width="15.28515625" style="1" customWidth="1"/>
    <col min="8678" max="8678" width="28" style="1" customWidth="1"/>
    <col min="8679" max="8679" width="13.5703125" style="1" customWidth="1"/>
    <col min="8680" max="8680" width="15.5703125" style="1" customWidth="1"/>
    <col min="8681" max="8681" width="8.85546875" style="1" customWidth="1"/>
    <col min="8682" max="8682" width="15.28515625" style="1" customWidth="1"/>
    <col min="8683" max="8683" width="15.7109375" style="1" customWidth="1"/>
    <col min="8684" max="8686" width="17.140625" style="1" customWidth="1"/>
    <col min="8687" max="8687" width="35.7109375" style="1" customWidth="1"/>
    <col min="8688" max="8688" width="28.5703125" style="1" customWidth="1"/>
    <col min="8689" max="8689" width="17.140625" style="1" customWidth="1"/>
    <col min="8690" max="8690" width="28.5703125" style="1" customWidth="1"/>
    <col min="8691" max="8919" width="9.140625" style="1"/>
    <col min="8920" max="8920" width="11.42578125" style="1" customWidth="1"/>
    <col min="8921" max="8921" width="25.140625" style="1" customWidth="1"/>
    <col min="8922" max="8922" width="42.7109375" style="1" customWidth="1"/>
    <col min="8923" max="8923" width="9.28515625" style="1" customWidth="1"/>
    <col min="8924" max="8924" width="13.85546875" style="1" customWidth="1"/>
    <col min="8925" max="8925" width="10.42578125" style="1" customWidth="1"/>
    <col min="8926" max="8926" width="16.7109375" style="1" customWidth="1"/>
    <col min="8927" max="8927" width="16.28515625" style="1" customWidth="1"/>
    <col min="8928" max="8928" width="14.42578125" style="1" customWidth="1"/>
    <col min="8929" max="8929" width="14.85546875" style="1" customWidth="1"/>
    <col min="8930" max="8930" width="13" style="1" customWidth="1"/>
    <col min="8931" max="8931" width="18.7109375" style="1" customWidth="1"/>
    <col min="8932" max="8932" width="6" style="1" customWidth="1"/>
    <col min="8933" max="8933" width="15.28515625" style="1" customWidth="1"/>
    <col min="8934" max="8934" width="28" style="1" customWidth="1"/>
    <col min="8935" max="8935" width="13.5703125" style="1" customWidth="1"/>
    <col min="8936" max="8936" width="15.5703125" style="1" customWidth="1"/>
    <col min="8937" max="8937" width="8.85546875" style="1" customWidth="1"/>
    <col min="8938" max="8938" width="15.28515625" style="1" customWidth="1"/>
    <col min="8939" max="8939" width="15.7109375" style="1" customWidth="1"/>
    <col min="8940" max="8942" width="17.140625" style="1" customWidth="1"/>
    <col min="8943" max="8943" width="35.7109375" style="1" customWidth="1"/>
    <col min="8944" max="8944" width="28.5703125" style="1" customWidth="1"/>
    <col min="8945" max="8945" width="17.140625" style="1" customWidth="1"/>
    <col min="8946" max="8946" width="28.5703125" style="1" customWidth="1"/>
    <col min="8947" max="9175" width="9.140625" style="1"/>
    <col min="9176" max="9176" width="11.42578125" style="1" customWidth="1"/>
    <col min="9177" max="9177" width="25.140625" style="1" customWidth="1"/>
    <col min="9178" max="9178" width="42.7109375" style="1" customWidth="1"/>
    <col min="9179" max="9179" width="9.28515625" style="1" customWidth="1"/>
    <col min="9180" max="9180" width="13.85546875" style="1" customWidth="1"/>
    <col min="9181" max="9181" width="10.42578125" style="1" customWidth="1"/>
    <col min="9182" max="9182" width="16.7109375" style="1" customWidth="1"/>
    <col min="9183" max="9183" width="16.28515625" style="1" customWidth="1"/>
    <col min="9184" max="9184" width="14.42578125" style="1" customWidth="1"/>
    <col min="9185" max="9185" width="14.85546875" style="1" customWidth="1"/>
    <col min="9186" max="9186" width="13" style="1" customWidth="1"/>
    <col min="9187" max="9187" width="18.7109375" style="1" customWidth="1"/>
    <col min="9188" max="9188" width="6" style="1" customWidth="1"/>
    <col min="9189" max="9189" width="15.28515625" style="1" customWidth="1"/>
    <col min="9190" max="9190" width="28" style="1" customWidth="1"/>
    <col min="9191" max="9191" width="13.5703125" style="1" customWidth="1"/>
    <col min="9192" max="9192" width="15.5703125" style="1" customWidth="1"/>
    <col min="9193" max="9193" width="8.85546875" style="1" customWidth="1"/>
    <col min="9194" max="9194" width="15.28515625" style="1" customWidth="1"/>
    <col min="9195" max="9195" width="15.7109375" style="1" customWidth="1"/>
    <col min="9196" max="9198" width="17.140625" style="1" customWidth="1"/>
    <col min="9199" max="9199" width="35.7109375" style="1" customWidth="1"/>
    <col min="9200" max="9200" width="28.5703125" style="1" customWidth="1"/>
    <col min="9201" max="9201" width="17.140625" style="1" customWidth="1"/>
    <col min="9202" max="9202" width="28.5703125" style="1" customWidth="1"/>
    <col min="9203" max="9431" width="9.140625" style="1"/>
    <col min="9432" max="9432" width="11.42578125" style="1" customWidth="1"/>
    <col min="9433" max="9433" width="25.140625" style="1" customWidth="1"/>
    <col min="9434" max="9434" width="42.7109375" style="1" customWidth="1"/>
    <col min="9435" max="9435" width="9.28515625" style="1" customWidth="1"/>
    <col min="9436" max="9436" width="13.85546875" style="1" customWidth="1"/>
    <col min="9437" max="9437" width="10.42578125" style="1" customWidth="1"/>
    <col min="9438" max="9438" width="16.7109375" style="1" customWidth="1"/>
    <col min="9439" max="9439" width="16.28515625" style="1" customWidth="1"/>
    <col min="9440" max="9440" width="14.42578125" style="1" customWidth="1"/>
    <col min="9441" max="9441" width="14.85546875" style="1" customWidth="1"/>
    <col min="9442" max="9442" width="13" style="1" customWidth="1"/>
    <col min="9443" max="9443" width="18.7109375" style="1" customWidth="1"/>
    <col min="9444" max="9444" width="6" style="1" customWidth="1"/>
    <col min="9445" max="9445" width="15.28515625" style="1" customWidth="1"/>
    <col min="9446" max="9446" width="28" style="1" customWidth="1"/>
    <col min="9447" max="9447" width="13.5703125" style="1" customWidth="1"/>
    <col min="9448" max="9448" width="15.5703125" style="1" customWidth="1"/>
    <col min="9449" max="9449" width="8.85546875" style="1" customWidth="1"/>
    <col min="9450" max="9450" width="15.28515625" style="1" customWidth="1"/>
    <col min="9451" max="9451" width="15.7109375" style="1" customWidth="1"/>
    <col min="9452" max="9454" width="17.140625" style="1" customWidth="1"/>
    <col min="9455" max="9455" width="35.7109375" style="1" customWidth="1"/>
    <col min="9456" max="9456" width="28.5703125" style="1" customWidth="1"/>
    <col min="9457" max="9457" width="17.140625" style="1" customWidth="1"/>
    <col min="9458" max="9458" width="28.5703125" style="1" customWidth="1"/>
    <col min="9459" max="9687" width="9.140625" style="1"/>
    <col min="9688" max="9688" width="11.42578125" style="1" customWidth="1"/>
    <col min="9689" max="9689" width="25.140625" style="1" customWidth="1"/>
    <col min="9690" max="9690" width="42.7109375" style="1" customWidth="1"/>
    <col min="9691" max="9691" width="9.28515625" style="1" customWidth="1"/>
    <col min="9692" max="9692" width="13.85546875" style="1" customWidth="1"/>
    <col min="9693" max="9693" width="10.42578125" style="1" customWidth="1"/>
    <col min="9694" max="9694" width="16.7109375" style="1" customWidth="1"/>
    <col min="9695" max="9695" width="16.28515625" style="1" customWidth="1"/>
    <col min="9696" max="9696" width="14.42578125" style="1" customWidth="1"/>
    <col min="9697" max="9697" width="14.85546875" style="1" customWidth="1"/>
    <col min="9698" max="9698" width="13" style="1" customWidth="1"/>
    <col min="9699" max="9699" width="18.7109375" style="1" customWidth="1"/>
    <col min="9700" max="9700" width="6" style="1" customWidth="1"/>
    <col min="9701" max="9701" width="15.28515625" style="1" customWidth="1"/>
    <col min="9702" max="9702" width="28" style="1" customWidth="1"/>
    <col min="9703" max="9703" width="13.5703125" style="1" customWidth="1"/>
    <col min="9704" max="9704" width="15.5703125" style="1" customWidth="1"/>
    <col min="9705" max="9705" width="8.85546875" style="1" customWidth="1"/>
    <col min="9706" max="9706" width="15.28515625" style="1" customWidth="1"/>
    <col min="9707" max="9707" width="15.7109375" style="1" customWidth="1"/>
    <col min="9708" max="9710" width="17.140625" style="1" customWidth="1"/>
    <col min="9711" max="9711" width="35.7109375" style="1" customWidth="1"/>
    <col min="9712" max="9712" width="28.5703125" style="1" customWidth="1"/>
    <col min="9713" max="9713" width="17.140625" style="1" customWidth="1"/>
    <col min="9714" max="9714" width="28.5703125" style="1" customWidth="1"/>
    <col min="9715" max="9943" width="9.140625" style="1"/>
    <col min="9944" max="9944" width="11.42578125" style="1" customWidth="1"/>
    <col min="9945" max="9945" width="25.140625" style="1" customWidth="1"/>
    <col min="9946" max="9946" width="42.7109375" style="1" customWidth="1"/>
    <col min="9947" max="9947" width="9.28515625" style="1" customWidth="1"/>
    <col min="9948" max="9948" width="13.85546875" style="1" customWidth="1"/>
    <col min="9949" max="9949" width="10.42578125" style="1" customWidth="1"/>
    <col min="9950" max="9950" width="16.7109375" style="1" customWidth="1"/>
    <col min="9951" max="9951" width="16.28515625" style="1" customWidth="1"/>
    <col min="9952" max="9952" width="14.42578125" style="1" customWidth="1"/>
    <col min="9953" max="9953" width="14.85546875" style="1" customWidth="1"/>
    <col min="9954" max="9954" width="13" style="1" customWidth="1"/>
    <col min="9955" max="9955" width="18.7109375" style="1" customWidth="1"/>
    <col min="9956" max="9956" width="6" style="1" customWidth="1"/>
    <col min="9957" max="9957" width="15.28515625" style="1" customWidth="1"/>
    <col min="9958" max="9958" width="28" style="1" customWidth="1"/>
    <col min="9959" max="9959" width="13.5703125" style="1" customWidth="1"/>
    <col min="9960" max="9960" width="15.5703125" style="1" customWidth="1"/>
    <col min="9961" max="9961" width="8.85546875" style="1" customWidth="1"/>
    <col min="9962" max="9962" width="15.28515625" style="1" customWidth="1"/>
    <col min="9963" max="9963" width="15.7109375" style="1" customWidth="1"/>
    <col min="9964" max="9966" width="17.140625" style="1" customWidth="1"/>
    <col min="9967" max="9967" width="35.7109375" style="1" customWidth="1"/>
    <col min="9968" max="9968" width="28.5703125" style="1" customWidth="1"/>
    <col min="9969" max="9969" width="17.140625" style="1" customWidth="1"/>
    <col min="9970" max="9970" width="28.5703125" style="1" customWidth="1"/>
    <col min="9971" max="10199" width="9.140625" style="1"/>
    <col min="10200" max="10200" width="11.42578125" style="1" customWidth="1"/>
    <col min="10201" max="10201" width="25.140625" style="1" customWidth="1"/>
    <col min="10202" max="10202" width="42.7109375" style="1" customWidth="1"/>
    <col min="10203" max="10203" width="9.28515625" style="1" customWidth="1"/>
    <col min="10204" max="10204" width="13.85546875" style="1" customWidth="1"/>
    <col min="10205" max="10205" width="10.42578125" style="1" customWidth="1"/>
    <col min="10206" max="10206" width="16.7109375" style="1" customWidth="1"/>
    <col min="10207" max="10207" width="16.28515625" style="1" customWidth="1"/>
    <col min="10208" max="10208" width="14.42578125" style="1" customWidth="1"/>
    <col min="10209" max="10209" width="14.85546875" style="1" customWidth="1"/>
    <col min="10210" max="10210" width="13" style="1" customWidth="1"/>
    <col min="10211" max="10211" width="18.7109375" style="1" customWidth="1"/>
    <col min="10212" max="10212" width="6" style="1" customWidth="1"/>
    <col min="10213" max="10213" width="15.28515625" style="1" customWidth="1"/>
    <col min="10214" max="10214" width="28" style="1" customWidth="1"/>
    <col min="10215" max="10215" width="13.5703125" style="1" customWidth="1"/>
    <col min="10216" max="10216" width="15.5703125" style="1" customWidth="1"/>
    <col min="10217" max="10217" width="8.85546875" style="1" customWidth="1"/>
    <col min="10218" max="10218" width="15.28515625" style="1" customWidth="1"/>
    <col min="10219" max="10219" width="15.7109375" style="1" customWidth="1"/>
    <col min="10220" max="10222" width="17.140625" style="1" customWidth="1"/>
    <col min="10223" max="10223" width="35.7109375" style="1" customWidth="1"/>
    <col min="10224" max="10224" width="28.5703125" style="1" customWidth="1"/>
    <col min="10225" max="10225" width="17.140625" style="1" customWidth="1"/>
    <col min="10226" max="10226" width="28.5703125" style="1" customWidth="1"/>
    <col min="10227" max="10455" width="9.140625" style="1"/>
    <col min="10456" max="10456" width="11.42578125" style="1" customWidth="1"/>
    <col min="10457" max="10457" width="25.140625" style="1" customWidth="1"/>
    <col min="10458" max="10458" width="42.7109375" style="1" customWidth="1"/>
    <col min="10459" max="10459" width="9.28515625" style="1" customWidth="1"/>
    <col min="10460" max="10460" width="13.85546875" style="1" customWidth="1"/>
    <col min="10461" max="10461" width="10.42578125" style="1" customWidth="1"/>
    <col min="10462" max="10462" width="16.7109375" style="1" customWidth="1"/>
    <col min="10463" max="10463" width="16.28515625" style="1" customWidth="1"/>
    <col min="10464" max="10464" width="14.42578125" style="1" customWidth="1"/>
    <col min="10465" max="10465" width="14.85546875" style="1" customWidth="1"/>
    <col min="10466" max="10466" width="13" style="1" customWidth="1"/>
    <col min="10467" max="10467" width="18.7109375" style="1" customWidth="1"/>
    <col min="10468" max="10468" width="6" style="1" customWidth="1"/>
    <col min="10469" max="10469" width="15.28515625" style="1" customWidth="1"/>
    <col min="10470" max="10470" width="28" style="1" customWidth="1"/>
    <col min="10471" max="10471" width="13.5703125" style="1" customWidth="1"/>
    <col min="10472" max="10472" width="15.5703125" style="1" customWidth="1"/>
    <col min="10473" max="10473" width="8.85546875" style="1" customWidth="1"/>
    <col min="10474" max="10474" width="15.28515625" style="1" customWidth="1"/>
    <col min="10475" max="10475" width="15.7109375" style="1" customWidth="1"/>
    <col min="10476" max="10478" width="17.140625" style="1" customWidth="1"/>
    <col min="10479" max="10479" width="35.7109375" style="1" customWidth="1"/>
    <col min="10480" max="10480" width="28.5703125" style="1" customWidth="1"/>
    <col min="10481" max="10481" width="17.140625" style="1" customWidth="1"/>
    <col min="10482" max="10482" width="28.5703125" style="1" customWidth="1"/>
    <col min="10483" max="10711" width="9.140625" style="1"/>
    <col min="10712" max="10712" width="11.42578125" style="1" customWidth="1"/>
    <col min="10713" max="10713" width="25.140625" style="1" customWidth="1"/>
    <col min="10714" max="10714" width="42.7109375" style="1" customWidth="1"/>
    <col min="10715" max="10715" width="9.28515625" style="1" customWidth="1"/>
    <col min="10716" max="10716" width="13.85546875" style="1" customWidth="1"/>
    <col min="10717" max="10717" width="10.42578125" style="1" customWidth="1"/>
    <col min="10718" max="10718" width="16.7109375" style="1" customWidth="1"/>
    <col min="10719" max="10719" width="16.28515625" style="1" customWidth="1"/>
    <col min="10720" max="10720" width="14.42578125" style="1" customWidth="1"/>
    <col min="10721" max="10721" width="14.85546875" style="1" customWidth="1"/>
    <col min="10722" max="10722" width="13" style="1" customWidth="1"/>
    <col min="10723" max="10723" width="18.7109375" style="1" customWidth="1"/>
    <col min="10724" max="10724" width="6" style="1" customWidth="1"/>
    <col min="10725" max="10725" width="15.28515625" style="1" customWidth="1"/>
    <col min="10726" max="10726" width="28" style="1" customWidth="1"/>
    <col min="10727" max="10727" width="13.5703125" style="1" customWidth="1"/>
    <col min="10728" max="10728" width="15.5703125" style="1" customWidth="1"/>
    <col min="10729" max="10729" width="8.85546875" style="1" customWidth="1"/>
    <col min="10730" max="10730" width="15.28515625" style="1" customWidth="1"/>
    <col min="10731" max="10731" width="15.7109375" style="1" customWidth="1"/>
    <col min="10732" max="10734" width="17.140625" style="1" customWidth="1"/>
    <col min="10735" max="10735" width="35.7109375" style="1" customWidth="1"/>
    <col min="10736" max="10736" width="28.5703125" style="1" customWidth="1"/>
    <col min="10737" max="10737" width="17.140625" style="1" customWidth="1"/>
    <col min="10738" max="10738" width="28.5703125" style="1" customWidth="1"/>
    <col min="10739" max="10967" width="9.140625" style="1"/>
    <col min="10968" max="10968" width="11.42578125" style="1" customWidth="1"/>
    <col min="10969" max="10969" width="25.140625" style="1" customWidth="1"/>
    <col min="10970" max="10970" width="42.7109375" style="1" customWidth="1"/>
    <col min="10971" max="10971" width="9.28515625" style="1" customWidth="1"/>
    <col min="10972" max="10972" width="13.85546875" style="1" customWidth="1"/>
    <col min="10973" max="10973" width="10.42578125" style="1" customWidth="1"/>
    <col min="10974" max="10974" width="16.7109375" style="1" customWidth="1"/>
    <col min="10975" max="10975" width="16.28515625" style="1" customWidth="1"/>
    <col min="10976" max="10976" width="14.42578125" style="1" customWidth="1"/>
    <col min="10977" max="10977" width="14.85546875" style="1" customWidth="1"/>
    <col min="10978" max="10978" width="13" style="1" customWidth="1"/>
    <col min="10979" max="10979" width="18.7109375" style="1" customWidth="1"/>
    <col min="10980" max="10980" width="6" style="1" customWidth="1"/>
    <col min="10981" max="10981" width="15.28515625" style="1" customWidth="1"/>
    <col min="10982" max="10982" width="28" style="1" customWidth="1"/>
    <col min="10983" max="10983" width="13.5703125" style="1" customWidth="1"/>
    <col min="10984" max="10984" width="15.5703125" style="1" customWidth="1"/>
    <col min="10985" max="10985" width="8.85546875" style="1" customWidth="1"/>
    <col min="10986" max="10986" width="15.28515625" style="1" customWidth="1"/>
    <col min="10987" max="10987" width="15.7109375" style="1" customWidth="1"/>
    <col min="10988" max="10990" width="17.140625" style="1" customWidth="1"/>
    <col min="10991" max="10991" width="35.7109375" style="1" customWidth="1"/>
    <col min="10992" max="10992" width="28.5703125" style="1" customWidth="1"/>
    <col min="10993" max="10993" width="17.140625" style="1" customWidth="1"/>
    <col min="10994" max="10994" width="28.5703125" style="1" customWidth="1"/>
    <col min="10995" max="11223" width="9.140625" style="1"/>
    <col min="11224" max="11224" width="11.42578125" style="1" customWidth="1"/>
    <col min="11225" max="11225" width="25.140625" style="1" customWidth="1"/>
    <col min="11226" max="11226" width="42.7109375" style="1" customWidth="1"/>
    <col min="11227" max="11227" width="9.28515625" style="1" customWidth="1"/>
    <col min="11228" max="11228" width="13.85546875" style="1" customWidth="1"/>
    <col min="11229" max="11229" width="10.42578125" style="1" customWidth="1"/>
    <col min="11230" max="11230" width="16.7109375" style="1" customWidth="1"/>
    <col min="11231" max="11231" width="16.28515625" style="1" customWidth="1"/>
    <col min="11232" max="11232" width="14.42578125" style="1" customWidth="1"/>
    <col min="11233" max="11233" width="14.85546875" style="1" customWidth="1"/>
    <col min="11234" max="11234" width="13" style="1" customWidth="1"/>
    <col min="11235" max="11235" width="18.7109375" style="1" customWidth="1"/>
    <col min="11236" max="11236" width="6" style="1" customWidth="1"/>
    <col min="11237" max="11237" width="15.28515625" style="1" customWidth="1"/>
    <col min="11238" max="11238" width="28" style="1" customWidth="1"/>
    <col min="11239" max="11239" width="13.5703125" style="1" customWidth="1"/>
    <col min="11240" max="11240" width="15.5703125" style="1" customWidth="1"/>
    <col min="11241" max="11241" width="8.85546875" style="1" customWidth="1"/>
    <col min="11242" max="11242" width="15.28515625" style="1" customWidth="1"/>
    <col min="11243" max="11243" width="15.7109375" style="1" customWidth="1"/>
    <col min="11244" max="11246" width="17.140625" style="1" customWidth="1"/>
    <col min="11247" max="11247" width="35.7109375" style="1" customWidth="1"/>
    <col min="11248" max="11248" width="28.5703125" style="1" customWidth="1"/>
    <col min="11249" max="11249" width="17.140625" style="1" customWidth="1"/>
    <col min="11250" max="11250" width="28.5703125" style="1" customWidth="1"/>
    <col min="11251" max="11479" width="9.140625" style="1"/>
    <col min="11480" max="11480" width="11.42578125" style="1" customWidth="1"/>
    <col min="11481" max="11481" width="25.140625" style="1" customWidth="1"/>
    <col min="11482" max="11482" width="42.7109375" style="1" customWidth="1"/>
    <col min="11483" max="11483" width="9.28515625" style="1" customWidth="1"/>
    <col min="11484" max="11484" width="13.85546875" style="1" customWidth="1"/>
    <col min="11485" max="11485" width="10.42578125" style="1" customWidth="1"/>
    <col min="11486" max="11486" width="16.7109375" style="1" customWidth="1"/>
    <col min="11487" max="11487" width="16.28515625" style="1" customWidth="1"/>
    <col min="11488" max="11488" width="14.42578125" style="1" customWidth="1"/>
    <col min="11489" max="11489" width="14.85546875" style="1" customWidth="1"/>
    <col min="11490" max="11490" width="13" style="1" customWidth="1"/>
    <col min="11491" max="11491" width="18.7109375" style="1" customWidth="1"/>
    <col min="11492" max="11492" width="6" style="1" customWidth="1"/>
    <col min="11493" max="11493" width="15.28515625" style="1" customWidth="1"/>
    <col min="11494" max="11494" width="28" style="1" customWidth="1"/>
    <col min="11495" max="11495" width="13.5703125" style="1" customWidth="1"/>
    <col min="11496" max="11496" width="15.5703125" style="1" customWidth="1"/>
    <col min="11497" max="11497" width="8.85546875" style="1" customWidth="1"/>
    <col min="11498" max="11498" width="15.28515625" style="1" customWidth="1"/>
    <col min="11499" max="11499" width="15.7109375" style="1" customWidth="1"/>
    <col min="11500" max="11502" width="17.140625" style="1" customWidth="1"/>
    <col min="11503" max="11503" width="35.7109375" style="1" customWidth="1"/>
    <col min="11504" max="11504" width="28.5703125" style="1" customWidth="1"/>
    <col min="11505" max="11505" width="17.140625" style="1" customWidth="1"/>
    <col min="11506" max="11506" width="28.5703125" style="1" customWidth="1"/>
    <col min="11507" max="11735" width="9.140625" style="1"/>
    <col min="11736" max="11736" width="11.42578125" style="1" customWidth="1"/>
    <col min="11737" max="11737" width="25.140625" style="1" customWidth="1"/>
    <col min="11738" max="11738" width="42.7109375" style="1" customWidth="1"/>
    <col min="11739" max="11739" width="9.28515625" style="1" customWidth="1"/>
    <col min="11740" max="11740" width="13.85546875" style="1" customWidth="1"/>
    <col min="11741" max="11741" width="10.42578125" style="1" customWidth="1"/>
    <col min="11742" max="11742" width="16.7109375" style="1" customWidth="1"/>
    <col min="11743" max="11743" width="16.28515625" style="1" customWidth="1"/>
    <col min="11744" max="11744" width="14.42578125" style="1" customWidth="1"/>
    <col min="11745" max="11745" width="14.85546875" style="1" customWidth="1"/>
    <col min="11746" max="11746" width="13" style="1" customWidth="1"/>
    <col min="11747" max="11747" width="18.7109375" style="1" customWidth="1"/>
    <col min="11748" max="11748" width="6" style="1" customWidth="1"/>
    <col min="11749" max="11749" width="15.28515625" style="1" customWidth="1"/>
    <col min="11750" max="11750" width="28" style="1" customWidth="1"/>
    <col min="11751" max="11751" width="13.5703125" style="1" customWidth="1"/>
    <col min="11752" max="11752" width="15.5703125" style="1" customWidth="1"/>
    <col min="11753" max="11753" width="8.85546875" style="1" customWidth="1"/>
    <col min="11754" max="11754" width="15.28515625" style="1" customWidth="1"/>
    <col min="11755" max="11755" width="15.7109375" style="1" customWidth="1"/>
    <col min="11756" max="11758" width="17.140625" style="1" customWidth="1"/>
    <col min="11759" max="11759" width="35.7109375" style="1" customWidth="1"/>
    <col min="11760" max="11760" width="28.5703125" style="1" customWidth="1"/>
    <col min="11761" max="11761" width="17.140625" style="1" customWidth="1"/>
    <col min="11762" max="11762" width="28.5703125" style="1" customWidth="1"/>
    <col min="11763" max="11991" width="9.140625" style="1"/>
    <col min="11992" max="11992" width="11.42578125" style="1" customWidth="1"/>
    <col min="11993" max="11993" width="25.140625" style="1" customWidth="1"/>
    <col min="11994" max="11994" width="42.7109375" style="1" customWidth="1"/>
    <col min="11995" max="11995" width="9.28515625" style="1" customWidth="1"/>
    <col min="11996" max="11996" width="13.85546875" style="1" customWidth="1"/>
    <col min="11997" max="11997" width="10.42578125" style="1" customWidth="1"/>
    <col min="11998" max="11998" width="16.7109375" style="1" customWidth="1"/>
    <col min="11999" max="11999" width="16.28515625" style="1" customWidth="1"/>
    <col min="12000" max="12000" width="14.42578125" style="1" customWidth="1"/>
    <col min="12001" max="12001" width="14.85546875" style="1" customWidth="1"/>
    <col min="12002" max="12002" width="13" style="1" customWidth="1"/>
    <col min="12003" max="12003" width="18.7109375" style="1" customWidth="1"/>
    <col min="12004" max="12004" width="6" style="1" customWidth="1"/>
    <col min="12005" max="12005" width="15.28515625" style="1" customWidth="1"/>
    <col min="12006" max="12006" width="28" style="1" customWidth="1"/>
    <col min="12007" max="12007" width="13.5703125" style="1" customWidth="1"/>
    <col min="12008" max="12008" width="15.5703125" style="1" customWidth="1"/>
    <col min="12009" max="12009" width="8.85546875" style="1" customWidth="1"/>
    <col min="12010" max="12010" width="15.28515625" style="1" customWidth="1"/>
    <col min="12011" max="12011" width="15.7109375" style="1" customWidth="1"/>
    <col min="12012" max="12014" width="17.140625" style="1" customWidth="1"/>
    <col min="12015" max="12015" width="35.7109375" style="1" customWidth="1"/>
    <col min="12016" max="12016" width="28.5703125" style="1" customWidth="1"/>
    <col min="12017" max="12017" width="17.140625" style="1" customWidth="1"/>
    <col min="12018" max="12018" width="28.5703125" style="1" customWidth="1"/>
    <col min="12019" max="12247" width="9.140625" style="1"/>
    <col min="12248" max="12248" width="11.42578125" style="1" customWidth="1"/>
    <col min="12249" max="12249" width="25.140625" style="1" customWidth="1"/>
    <col min="12250" max="12250" width="42.7109375" style="1" customWidth="1"/>
    <col min="12251" max="12251" width="9.28515625" style="1" customWidth="1"/>
    <col min="12252" max="12252" width="13.85546875" style="1" customWidth="1"/>
    <col min="12253" max="12253" width="10.42578125" style="1" customWidth="1"/>
    <col min="12254" max="12254" width="16.7109375" style="1" customWidth="1"/>
    <col min="12255" max="12255" width="16.28515625" style="1" customWidth="1"/>
    <col min="12256" max="12256" width="14.42578125" style="1" customWidth="1"/>
    <col min="12257" max="12257" width="14.85546875" style="1" customWidth="1"/>
    <col min="12258" max="12258" width="13" style="1" customWidth="1"/>
    <col min="12259" max="12259" width="18.7109375" style="1" customWidth="1"/>
    <col min="12260" max="12260" width="6" style="1" customWidth="1"/>
    <col min="12261" max="12261" width="15.28515625" style="1" customWidth="1"/>
    <col min="12262" max="12262" width="28" style="1" customWidth="1"/>
    <col min="12263" max="12263" width="13.5703125" style="1" customWidth="1"/>
    <col min="12264" max="12264" width="15.5703125" style="1" customWidth="1"/>
    <col min="12265" max="12265" width="8.85546875" style="1" customWidth="1"/>
    <col min="12266" max="12266" width="15.28515625" style="1" customWidth="1"/>
    <col min="12267" max="12267" width="15.7109375" style="1" customWidth="1"/>
    <col min="12268" max="12270" width="17.140625" style="1" customWidth="1"/>
    <col min="12271" max="12271" width="35.7109375" style="1" customWidth="1"/>
    <col min="12272" max="12272" width="28.5703125" style="1" customWidth="1"/>
    <col min="12273" max="12273" width="17.140625" style="1" customWidth="1"/>
    <col min="12274" max="12274" width="28.5703125" style="1" customWidth="1"/>
    <col min="12275" max="12503" width="9.140625" style="1"/>
    <col min="12504" max="12504" width="11.42578125" style="1" customWidth="1"/>
    <col min="12505" max="12505" width="25.140625" style="1" customWidth="1"/>
    <col min="12506" max="12506" width="42.7109375" style="1" customWidth="1"/>
    <col min="12507" max="12507" width="9.28515625" style="1" customWidth="1"/>
    <col min="12508" max="12508" width="13.85546875" style="1" customWidth="1"/>
    <col min="12509" max="12509" width="10.42578125" style="1" customWidth="1"/>
    <col min="12510" max="12510" width="16.7109375" style="1" customWidth="1"/>
    <col min="12511" max="12511" width="16.28515625" style="1" customWidth="1"/>
    <col min="12512" max="12512" width="14.42578125" style="1" customWidth="1"/>
    <col min="12513" max="12513" width="14.85546875" style="1" customWidth="1"/>
    <col min="12514" max="12514" width="13" style="1" customWidth="1"/>
    <col min="12515" max="12515" width="18.7109375" style="1" customWidth="1"/>
    <col min="12516" max="12516" width="6" style="1" customWidth="1"/>
    <col min="12517" max="12517" width="15.28515625" style="1" customWidth="1"/>
    <col min="12518" max="12518" width="28" style="1" customWidth="1"/>
    <col min="12519" max="12519" width="13.5703125" style="1" customWidth="1"/>
    <col min="12520" max="12520" width="15.5703125" style="1" customWidth="1"/>
    <col min="12521" max="12521" width="8.85546875" style="1" customWidth="1"/>
    <col min="12522" max="12522" width="15.28515625" style="1" customWidth="1"/>
    <col min="12523" max="12523" width="15.7109375" style="1" customWidth="1"/>
    <col min="12524" max="12526" width="17.140625" style="1" customWidth="1"/>
    <col min="12527" max="12527" width="35.7109375" style="1" customWidth="1"/>
    <col min="12528" max="12528" width="28.5703125" style="1" customWidth="1"/>
    <col min="12529" max="12529" width="17.140625" style="1" customWidth="1"/>
    <col min="12530" max="12530" width="28.5703125" style="1" customWidth="1"/>
    <col min="12531" max="12759" width="9.140625" style="1"/>
    <col min="12760" max="12760" width="11.42578125" style="1" customWidth="1"/>
    <col min="12761" max="12761" width="25.140625" style="1" customWidth="1"/>
    <col min="12762" max="12762" width="42.7109375" style="1" customWidth="1"/>
    <col min="12763" max="12763" width="9.28515625" style="1" customWidth="1"/>
    <col min="12764" max="12764" width="13.85546875" style="1" customWidth="1"/>
    <col min="12765" max="12765" width="10.42578125" style="1" customWidth="1"/>
    <col min="12766" max="12766" width="16.7109375" style="1" customWidth="1"/>
    <col min="12767" max="12767" width="16.28515625" style="1" customWidth="1"/>
    <col min="12768" max="12768" width="14.42578125" style="1" customWidth="1"/>
    <col min="12769" max="12769" width="14.85546875" style="1" customWidth="1"/>
    <col min="12770" max="12770" width="13" style="1" customWidth="1"/>
    <col min="12771" max="12771" width="18.7109375" style="1" customWidth="1"/>
    <col min="12772" max="12772" width="6" style="1" customWidth="1"/>
    <col min="12773" max="12773" width="15.28515625" style="1" customWidth="1"/>
    <col min="12774" max="12774" width="28" style="1" customWidth="1"/>
    <col min="12775" max="12775" width="13.5703125" style="1" customWidth="1"/>
    <col min="12776" max="12776" width="15.5703125" style="1" customWidth="1"/>
    <col min="12777" max="12777" width="8.85546875" style="1" customWidth="1"/>
    <col min="12778" max="12778" width="15.28515625" style="1" customWidth="1"/>
    <col min="12779" max="12779" width="15.7109375" style="1" customWidth="1"/>
    <col min="12780" max="12782" width="17.140625" style="1" customWidth="1"/>
    <col min="12783" max="12783" width="35.7109375" style="1" customWidth="1"/>
    <col min="12784" max="12784" width="28.5703125" style="1" customWidth="1"/>
    <col min="12785" max="12785" width="17.140625" style="1" customWidth="1"/>
    <col min="12786" max="12786" width="28.5703125" style="1" customWidth="1"/>
    <col min="12787" max="13015" width="9.140625" style="1"/>
    <col min="13016" max="13016" width="11.42578125" style="1" customWidth="1"/>
    <col min="13017" max="13017" width="25.140625" style="1" customWidth="1"/>
    <col min="13018" max="13018" width="42.7109375" style="1" customWidth="1"/>
    <col min="13019" max="13019" width="9.28515625" style="1" customWidth="1"/>
    <col min="13020" max="13020" width="13.85546875" style="1" customWidth="1"/>
    <col min="13021" max="13021" width="10.42578125" style="1" customWidth="1"/>
    <col min="13022" max="13022" width="16.7109375" style="1" customWidth="1"/>
    <col min="13023" max="13023" width="16.28515625" style="1" customWidth="1"/>
    <col min="13024" max="13024" width="14.42578125" style="1" customWidth="1"/>
    <col min="13025" max="13025" width="14.85546875" style="1" customWidth="1"/>
    <col min="13026" max="13026" width="13" style="1" customWidth="1"/>
    <col min="13027" max="13027" width="18.7109375" style="1" customWidth="1"/>
    <col min="13028" max="13028" width="6" style="1" customWidth="1"/>
    <col min="13029" max="13029" width="15.28515625" style="1" customWidth="1"/>
    <col min="13030" max="13030" width="28" style="1" customWidth="1"/>
    <col min="13031" max="13031" width="13.5703125" style="1" customWidth="1"/>
    <col min="13032" max="13032" width="15.5703125" style="1" customWidth="1"/>
    <col min="13033" max="13033" width="8.85546875" style="1" customWidth="1"/>
    <col min="13034" max="13034" width="15.28515625" style="1" customWidth="1"/>
    <col min="13035" max="13035" width="15.7109375" style="1" customWidth="1"/>
    <col min="13036" max="13038" width="17.140625" style="1" customWidth="1"/>
    <col min="13039" max="13039" width="35.7109375" style="1" customWidth="1"/>
    <col min="13040" max="13040" width="28.5703125" style="1" customWidth="1"/>
    <col min="13041" max="13041" width="17.140625" style="1" customWidth="1"/>
    <col min="13042" max="13042" width="28.5703125" style="1" customWidth="1"/>
    <col min="13043" max="13271" width="9.140625" style="1"/>
    <col min="13272" max="13272" width="11.42578125" style="1" customWidth="1"/>
    <col min="13273" max="13273" width="25.140625" style="1" customWidth="1"/>
    <col min="13274" max="13274" width="42.7109375" style="1" customWidth="1"/>
    <col min="13275" max="13275" width="9.28515625" style="1" customWidth="1"/>
    <col min="13276" max="13276" width="13.85546875" style="1" customWidth="1"/>
    <col min="13277" max="13277" width="10.42578125" style="1" customWidth="1"/>
    <col min="13278" max="13278" width="16.7109375" style="1" customWidth="1"/>
    <col min="13279" max="13279" width="16.28515625" style="1" customWidth="1"/>
    <col min="13280" max="13280" width="14.42578125" style="1" customWidth="1"/>
    <col min="13281" max="13281" width="14.85546875" style="1" customWidth="1"/>
    <col min="13282" max="13282" width="13" style="1" customWidth="1"/>
    <col min="13283" max="13283" width="18.7109375" style="1" customWidth="1"/>
    <col min="13284" max="13284" width="6" style="1" customWidth="1"/>
    <col min="13285" max="13285" width="15.28515625" style="1" customWidth="1"/>
    <col min="13286" max="13286" width="28" style="1" customWidth="1"/>
    <col min="13287" max="13287" width="13.5703125" style="1" customWidth="1"/>
    <col min="13288" max="13288" width="15.5703125" style="1" customWidth="1"/>
    <col min="13289" max="13289" width="8.85546875" style="1" customWidth="1"/>
    <col min="13290" max="13290" width="15.28515625" style="1" customWidth="1"/>
    <col min="13291" max="13291" width="15.7109375" style="1" customWidth="1"/>
    <col min="13292" max="13294" width="17.140625" style="1" customWidth="1"/>
    <col min="13295" max="13295" width="35.7109375" style="1" customWidth="1"/>
    <col min="13296" max="13296" width="28.5703125" style="1" customWidth="1"/>
    <col min="13297" max="13297" width="17.140625" style="1" customWidth="1"/>
    <col min="13298" max="13298" width="28.5703125" style="1" customWidth="1"/>
    <col min="13299" max="13527" width="9.140625" style="1"/>
    <col min="13528" max="13528" width="11.42578125" style="1" customWidth="1"/>
    <col min="13529" max="13529" width="25.140625" style="1" customWidth="1"/>
    <col min="13530" max="13530" width="42.7109375" style="1" customWidth="1"/>
    <col min="13531" max="13531" width="9.28515625" style="1" customWidth="1"/>
    <col min="13532" max="13532" width="13.85546875" style="1" customWidth="1"/>
    <col min="13533" max="13533" width="10.42578125" style="1" customWidth="1"/>
    <col min="13534" max="13534" width="16.7109375" style="1" customWidth="1"/>
    <col min="13535" max="13535" width="16.28515625" style="1" customWidth="1"/>
    <col min="13536" max="13536" width="14.42578125" style="1" customWidth="1"/>
    <col min="13537" max="13537" width="14.85546875" style="1" customWidth="1"/>
    <col min="13538" max="13538" width="13" style="1" customWidth="1"/>
    <col min="13539" max="13539" width="18.7109375" style="1" customWidth="1"/>
    <col min="13540" max="13540" width="6" style="1" customWidth="1"/>
    <col min="13541" max="13541" width="15.28515625" style="1" customWidth="1"/>
    <col min="13542" max="13542" width="28" style="1" customWidth="1"/>
    <col min="13543" max="13543" width="13.5703125" style="1" customWidth="1"/>
    <col min="13544" max="13544" width="15.5703125" style="1" customWidth="1"/>
    <col min="13545" max="13545" width="8.85546875" style="1" customWidth="1"/>
    <col min="13546" max="13546" width="15.28515625" style="1" customWidth="1"/>
    <col min="13547" max="13547" width="15.7109375" style="1" customWidth="1"/>
    <col min="13548" max="13550" width="17.140625" style="1" customWidth="1"/>
    <col min="13551" max="13551" width="35.7109375" style="1" customWidth="1"/>
    <col min="13552" max="13552" width="28.5703125" style="1" customWidth="1"/>
    <col min="13553" max="13553" width="17.140625" style="1" customWidth="1"/>
    <col min="13554" max="13554" width="28.5703125" style="1" customWidth="1"/>
    <col min="13555" max="13783" width="9.140625" style="1"/>
    <col min="13784" max="13784" width="11.42578125" style="1" customWidth="1"/>
    <col min="13785" max="13785" width="25.140625" style="1" customWidth="1"/>
    <col min="13786" max="13786" width="42.7109375" style="1" customWidth="1"/>
    <col min="13787" max="13787" width="9.28515625" style="1" customWidth="1"/>
    <col min="13788" max="13788" width="13.85546875" style="1" customWidth="1"/>
    <col min="13789" max="13789" width="10.42578125" style="1" customWidth="1"/>
    <col min="13790" max="13790" width="16.7109375" style="1" customWidth="1"/>
    <col min="13791" max="13791" width="16.28515625" style="1" customWidth="1"/>
    <col min="13792" max="13792" width="14.42578125" style="1" customWidth="1"/>
    <col min="13793" max="13793" width="14.85546875" style="1" customWidth="1"/>
    <col min="13794" max="13794" width="13" style="1" customWidth="1"/>
    <col min="13795" max="13795" width="18.7109375" style="1" customWidth="1"/>
    <col min="13796" max="13796" width="6" style="1" customWidth="1"/>
    <col min="13797" max="13797" width="15.28515625" style="1" customWidth="1"/>
    <col min="13798" max="13798" width="28" style="1" customWidth="1"/>
    <col min="13799" max="13799" width="13.5703125" style="1" customWidth="1"/>
    <col min="13800" max="13800" width="15.5703125" style="1" customWidth="1"/>
    <col min="13801" max="13801" width="8.85546875" style="1" customWidth="1"/>
    <col min="13802" max="13802" width="15.28515625" style="1" customWidth="1"/>
    <col min="13803" max="13803" width="15.7109375" style="1" customWidth="1"/>
    <col min="13804" max="13806" width="17.140625" style="1" customWidth="1"/>
    <col min="13807" max="13807" width="35.7109375" style="1" customWidth="1"/>
    <col min="13808" max="13808" width="28.5703125" style="1" customWidth="1"/>
    <col min="13809" max="13809" width="17.140625" style="1" customWidth="1"/>
    <col min="13810" max="13810" width="28.5703125" style="1" customWidth="1"/>
    <col min="13811" max="14039" width="9.140625" style="1"/>
    <col min="14040" max="14040" width="11.42578125" style="1" customWidth="1"/>
    <col min="14041" max="14041" width="25.140625" style="1" customWidth="1"/>
    <col min="14042" max="14042" width="42.7109375" style="1" customWidth="1"/>
    <col min="14043" max="14043" width="9.28515625" style="1" customWidth="1"/>
    <col min="14044" max="14044" width="13.85546875" style="1" customWidth="1"/>
    <col min="14045" max="14045" width="10.42578125" style="1" customWidth="1"/>
    <col min="14046" max="14046" width="16.7109375" style="1" customWidth="1"/>
    <col min="14047" max="14047" width="16.28515625" style="1" customWidth="1"/>
    <col min="14048" max="14048" width="14.42578125" style="1" customWidth="1"/>
    <col min="14049" max="14049" width="14.85546875" style="1" customWidth="1"/>
    <col min="14050" max="14050" width="13" style="1" customWidth="1"/>
    <col min="14051" max="14051" width="18.7109375" style="1" customWidth="1"/>
    <col min="14052" max="14052" width="6" style="1" customWidth="1"/>
    <col min="14053" max="14053" width="15.28515625" style="1" customWidth="1"/>
    <col min="14054" max="14054" width="28" style="1" customWidth="1"/>
    <col min="14055" max="14055" width="13.5703125" style="1" customWidth="1"/>
    <col min="14056" max="14056" width="15.5703125" style="1" customWidth="1"/>
    <col min="14057" max="14057" width="8.85546875" style="1" customWidth="1"/>
    <col min="14058" max="14058" width="15.28515625" style="1" customWidth="1"/>
    <col min="14059" max="14059" width="15.7109375" style="1" customWidth="1"/>
    <col min="14060" max="14062" width="17.140625" style="1" customWidth="1"/>
    <col min="14063" max="14063" width="35.7109375" style="1" customWidth="1"/>
    <col min="14064" max="14064" width="28.5703125" style="1" customWidth="1"/>
    <col min="14065" max="14065" width="17.140625" style="1" customWidth="1"/>
    <col min="14066" max="14066" width="28.5703125" style="1" customWidth="1"/>
    <col min="14067" max="14295" width="9.140625" style="1"/>
    <col min="14296" max="14296" width="11.42578125" style="1" customWidth="1"/>
    <col min="14297" max="14297" width="25.140625" style="1" customWidth="1"/>
    <col min="14298" max="14298" width="42.7109375" style="1" customWidth="1"/>
    <col min="14299" max="14299" width="9.28515625" style="1" customWidth="1"/>
    <col min="14300" max="14300" width="13.85546875" style="1" customWidth="1"/>
    <col min="14301" max="14301" width="10.42578125" style="1" customWidth="1"/>
    <col min="14302" max="14302" width="16.7109375" style="1" customWidth="1"/>
    <col min="14303" max="14303" width="16.28515625" style="1" customWidth="1"/>
    <col min="14304" max="14304" width="14.42578125" style="1" customWidth="1"/>
    <col min="14305" max="14305" width="14.85546875" style="1" customWidth="1"/>
    <col min="14306" max="14306" width="13" style="1" customWidth="1"/>
    <col min="14307" max="14307" width="18.7109375" style="1" customWidth="1"/>
    <col min="14308" max="14308" width="6" style="1" customWidth="1"/>
    <col min="14309" max="14309" width="15.28515625" style="1" customWidth="1"/>
    <col min="14310" max="14310" width="28" style="1" customWidth="1"/>
    <col min="14311" max="14311" width="13.5703125" style="1" customWidth="1"/>
    <col min="14312" max="14312" width="15.5703125" style="1" customWidth="1"/>
    <col min="14313" max="14313" width="8.85546875" style="1" customWidth="1"/>
    <col min="14314" max="14314" width="15.28515625" style="1" customWidth="1"/>
    <col min="14315" max="14315" width="15.7109375" style="1" customWidth="1"/>
    <col min="14316" max="14318" width="17.140625" style="1" customWidth="1"/>
    <col min="14319" max="14319" width="35.7109375" style="1" customWidth="1"/>
    <col min="14320" max="14320" width="28.5703125" style="1" customWidth="1"/>
    <col min="14321" max="14321" width="17.140625" style="1" customWidth="1"/>
    <col min="14322" max="14322" width="28.5703125" style="1" customWidth="1"/>
    <col min="14323" max="14551" width="9.140625" style="1"/>
    <col min="14552" max="14552" width="11.42578125" style="1" customWidth="1"/>
    <col min="14553" max="14553" width="25.140625" style="1" customWidth="1"/>
    <col min="14554" max="14554" width="42.7109375" style="1" customWidth="1"/>
    <col min="14555" max="14555" width="9.28515625" style="1" customWidth="1"/>
    <col min="14556" max="14556" width="13.85546875" style="1" customWidth="1"/>
    <col min="14557" max="14557" width="10.42578125" style="1" customWidth="1"/>
    <col min="14558" max="14558" width="16.7109375" style="1" customWidth="1"/>
    <col min="14559" max="14559" width="16.28515625" style="1" customWidth="1"/>
    <col min="14560" max="14560" width="14.42578125" style="1" customWidth="1"/>
    <col min="14561" max="14561" width="14.85546875" style="1" customWidth="1"/>
    <col min="14562" max="14562" width="13" style="1" customWidth="1"/>
    <col min="14563" max="14563" width="18.7109375" style="1" customWidth="1"/>
    <col min="14564" max="14564" width="6" style="1" customWidth="1"/>
    <col min="14565" max="14565" width="15.28515625" style="1" customWidth="1"/>
    <col min="14566" max="14566" width="28" style="1" customWidth="1"/>
    <col min="14567" max="14567" width="13.5703125" style="1" customWidth="1"/>
    <col min="14568" max="14568" width="15.5703125" style="1" customWidth="1"/>
    <col min="14569" max="14569" width="8.85546875" style="1" customWidth="1"/>
    <col min="14570" max="14570" width="15.28515625" style="1" customWidth="1"/>
    <col min="14571" max="14571" width="15.7109375" style="1" customWidth="1"/>
    <col min="14572" max="14574" width="17.140625" style="1" customWidth="1"/>
    <col min="14575" max="14575" width="35.7109375" style="1" customWidth="1"/>
    <col min="14576" max="14576" width="28.5703125" style="1" customWidth="1"/>
    <col min="14577" max="14577" width="17.140625" style="1" customWidth="1"/>
    <col min="14578" max="14578" width="28.5703125" style="1" customWidth="1"/>
    <col min="14579" max="14807" width="9.140625" style="1"/>
    <col min="14808" max="14808" width="11.42578125" style="1" customWidth="1"/>
    <col min="14809" max="14809" width="25.140625" style="1" customWidth="1"/>
    <col min="14810" max="14810" width="42.7109375" style="1" customWidth="1"/>
    <col min="14811" max="14811" width="9.28515625" style="1" customWidth="1"/>
    <col min="14812" max="14812" width="13.85546875" style="1" customWidth="1"/>
    <col min="14813" max="14813" width="10.42578125" style="1" customWidth="1"/>
    <col min="14814" max="14814" width="16.7109375" style="1" customWidth="1"/>
    <col min="14815" max="14815" width="16.28515625" style="1" customWidth="1"/>
    <col min="14816" max="14816" width="14.42578125" style="1" customWidth="1"/>
    <col min="14817" max="14817" width="14.85546875" style="1" customWidth="1"/>
    <col min="14818" max="14818" width="13" style="1" customWidth="1"/>
    <col min="14819" max="14819" width="18.7109375" style="1" customWidth="1"/>
    <col min="14820" max="14820" width="6" style="1" customWidth="1"/>
    <col min="14821" max="14821" width="15.28515625" style="1" customWidth="1"/>
    <col min="14822" max="14822" width="28" style="1" customWidth="1"/>
    <col min="14823" max="14823" width="13.5703125" style="1" customWidth="1"/>
    <col min="14824" max="14824" width="15.5703125" style="1" customWidth="1"/>
    <col min="14825" max="14825" width="8.85546875" style="1" customWidth="1"/>
    <col min="14826" max="14826" width="15.28515625" style="1" customWidth="1"/>
    <col min="14827" max="14827" width="15.7109375" style="1" customWidth="1"/>
    <col min="14828" max="14830" width="17.140625" style="1" customWidth="1"/>
    <col min="14831" max="14831" width="35.7109375" style="1" customWidth="1"/>
    <col min="14832" max="14832" width="28.5703125" style="1" customWidth="1"/>
    <col min="14833" max="14833" width="17.140625" style="1" customWidth="1"/>
    <col min="14834" max="14834" width="28.5703125" style="1" customWidth="1"/>
    <col min="14835" max="15063" width="9.140625" style="1"/>
    <col min="15064" max="15064" width="11.42578125" style="1" customWidth="1"/>
    <col min="15065" max="15065" width="25.140625" style="1" customWidth="1"/>
    <col min="15066" max="15066" width="42.7109375" style="1" customWidth="1"/>
    <col min="15067" max="15067" width="9.28515625" style="1" customWidth="1"/>
    <col min="15068" max="15068" width="13.85546875" style="1" customWidth="1"/>
    <col min="15069" max="15069" width="10.42578125" style="1" customWidth="1"/>
    <col min="15070" max="15070" width="16.7109375" style="1" customWidth="1"/>
    <col min="15071" max="15071" width="16.28515625" style="1" customWidth="1"/>
    <col min="15072" max="15072" width="14.42578125" style="1" customWidth="1"/>
    <col min="15073" max="15073" width="14.85546875" style="1" customWidth="1"/>
    <col min="15074" max="15074" width="13" style="1" customWidth="1"/>
    <col min="15075" max="15075" width="18.7109375" style="1" customWidth="1"/>
    <col min="15076" max="15076" width="6" style="1" customWidth="1"/>
    <col min="15077" max="15077" width="15.28515625" style="1" customWidth="1"/>
    <col min="15078" max="15078" width="28" style="1" customWidth="1"/>
    <col min="15079" max="15079" width="13.5703125" style="1" customWidth="1"/>
    <col min="15080" max="15080" width="15.5703125" style="1" customWidth="1"/>
    <col min="15081" max="15081" width="8.85546875" style="1" customWidth="1"/>
    <col min="15082" max="15082" width="15.28515625" style="1" customWidth="1"/>
    <col min="15083" max="15083" width="15.7109375" style="1" customWidth="1"/>
    <col min="15084" max="15086" width="17.140625" style="1" customWidth="1"/>
    <col min="15087" max="15087" width="35.7109375" style="1" customWidth="1"/>
    <col min="15088" max="15088" width="28.5703125" style="1" customWidth="1"/>
    <col min="15089" max="15089" width="17.140625" style="1" customWidth="1"/>
    <col min="15090" max="15090" width="28.5703125" style="1" customWidth="1"/>
    <col min="15091" max="15319" width="9.140625" style="1"/>
    <col min="15320" max="15320" width="11.42578125" style="1" customWidth="1"/>
    <col min="15321" max="15321" width="25.140625" style="1" customWidth="1"/>
    <col min="15322" max="15322" width="42.7109375" style="1" customWidth="1"/>
    <col min="15323" max="15323" width="9.28515625" style="1" customWidth="1"/>
    <col min="15324" max="15324" width="13.85546875" style="1" customWidth="1"/>
    <col min="15325" max="15325" width="10.42578125" style="1" customWidth="1"/>
    <col min="15326" max="15326" width="16.7109375" style="1" customWidth="1"/>
    <col min="15327" max="15327" width="16.28515625" style="1" customWidth="1"/>
    <col min="15328" max="15328" width="14.42578125" style="1" customWidth="1"/>
    <col min="15329" max="15329" width="14.85546875" style="1" customWidth="1"/>
    <col min="15330" max="15330" width="13" style="1" customWidth="1"/>
    <col min="15331" max="15331" width="18.7109375" style="1" customWidth="1"/>
    <col min="15332" max="15332" width="6" style="1" customWidth="1"/>
    <col min="15333" max="15333" width="15.28515625" style="1" customWidth="1"/>
    <col min="15334" max="15334" width="28" style="1" customWidth="1"/>
    <col min="15335" max="15335" width="13.5703125" style="1" customWidth="1"/>
    <col min="15336" max="15336" width="15.5703125" style="1" customWidth="1"/>
    <col min="15337" max="15337" width="8.85546875" style="1" customWidth="1"/>
    <col min="15338" max="15338" width="15.28515625" style="1" customWidth="1"/>
    <col min="15339" max="15339" width="15.7109375" style="1" customWidth="1"/>
    <col min="15340" max="15342" width="17.140625" style="1" customWidth="1"/>
    <col min="15343" max="15343" width="35.7109375" style="1" customWidth="1"/>
    <col min="15344" max="15344" width="28.5703125" style="1" customWidth="1"/>
    <col min="15345" max="15345" width="17.140625" style="1" customWidth="1"/>
    <col min="15346" max="15346" width="28.5703125" style="1" customWidth="1"/>
    <col min="15347" max="15575" width="9.140625" style="1"/>
    <col min="15576" max="15576" width="11.42578125" style="1" customWidth="1"/>
    <col min="15577" max="15577" width="25.140625" style="1" customWidth="1"/>
    <col min="15578" max="15578" width="42.7109375" style="1" customWidth="1"/>
    <col min="15579" max="15579" width="9.28515625" style="1" customWidth="1"/>
    <col min="15580" max="15580" width="13.85546875" style="1" customWidth="1"/>
    <col min="15581" max="15581" width="10.42578125" style="1" customWidth="1"/>
    <col min="15582" max="15582" width="16.7109375" style="1" customWidth="1"/>
    <col min="15583" max="15583" width="16.28515625" style="1" customWidth="1"/>
    <col min="15584" max="15584" width="14.42578125" style="1" customWidth="1"/>
    <col min="15585" max="15585" width="14.85546875" style="1" customWidth="1"/>
    <col min="15586" max="15586" width="13" style="1" customWidth="1"/>
    <col min="15587" max="15587" width="18.7109375" style="1" customWidth="1"/>
    <col min="15588" max="15588" width="6" style="1" customWidth="1"/>
    <col min="15589" max="15589" width="15.28515625" style="1" customWidth="1"/>
    <col min="15590" max="15590" width="28" style="1" customWidth="1"/>
    <col min="15591" max="15591" width="13.5703125" style="1" customWidth="1"/>
    <col min="15592" max="15592" width="15.5703125" style="1" customWidth="1"/>
    <col min="15593" max="15593" width="8.85546875" style="1" customWidth="1"/>
    <col min="15594" max="15594" width="15.28515625" style="1" customWidth="1"/>
    <col min="15595" max="15595" width="15.7109375" style="1" customWidth="1"/>
    <col min="15596" max="15598" width="17.140625" style="1" customWidth="1"/>
    <col min="15599" max="15599" width="35.7109375" style="1" customWidth="1"/>
    <col min="15600" max="15600" width="28.5703125" style="1" customWidth="1"/>
    <col min="15601" max="15601" width="17.140625" style="1" customWidth="1"/>
    <col min="15602" max="15602" width="28.5703125" style="1" customWidth="1"/>
    <col min="15603" max="15831" width="9.140625" style="1"/>
    <col min="15832" max="15832" width="11.42578125" style="1" customWidth="1"/>
    <col min="15833" max="15833" width="25.140625" style="1" customWidth="1"/>
    <col min="15834" max="15834" width="42.7109375" style="1" customWidth="1"/>
    <col min="15835" max="15835" width="9.28515625" style="1" customWidth="1"/>
    <col min="15836" max="15836" width="13.85546875" style="1" customWidth="1"/>
    <col min="15837" max="15837" width="10.42578125" style="1" customWidth="1"/>
    <col min="15838" max="15838" width="16.7109375" style="1" customWidth="1"/>
    <col min="15839" max="15839" width="16.28515625" style="1" customWidth="1"/>
    <col min="15840" max="15840" width="14.42578125" style="1" customWidth="1"/>
    <col min="15841" max="15841" width="14.85546875" style="1" customWidth="1"/>
    <col min="15842" max="15842" width="13" style="1" customWidth="1"/>
    <col min="15843" max="15843" width="18.7109375" style="1" customWidth="1"/>
    <col min="15844" max="15844" width="6" style="1" customWidth="1"/>
    <col min="15845" max="15845" width="15.28515625" style="1" customWidth="1"/>
    <col min="15846" max="15846" width="28" style="1" customWidth="1"/>
    <col min="15847" max="15847" width="13.5703125" style="1" customWidth="1"/>
    <col min="15848" max="15848" width="15.5703125" style="1" customWidth="1"/>
    <col min="15849" max="15849" width="8.85546875" style="1" customWidth="1"/>
    <col min="15850" max="15850" width="15.28515625" style="1" customWidth="1"/>
    <col min="15851" max="15851" width="15.7109375" style="1" customWidth="1"/>
    <col min="15852" max="15854" width="17.140625" style="1" customWidth="1"/>
    <col min="15855" max="15855" width="35.7109375" style="1" customWidth="1"/>
    <col min="15856" max="15856" width="28.5703125" style="1" customWidth="1"/>
    <col min="15857" max="15857" width="17.140625" style="1" customWidth="1"/>
    <col min="15858" max="15858" width="28.5703125" style="1" customWidth="1"/>
    <col min="15859" max="16087" width="9.140625" style="1"/>
    <col min="16088" max="16088" width="11.42578125" style="1" customWidth="1"/>
    <col min="16089" max="16089" width="25.140625" style="1" customWidth="1"/>
    <col min="16090" max="16090" width="42.7109375" style="1" customWidth="1"/>
    <col min="16091" max="16091" width="9.28515625" style="1" customWidth="1"/>
    <col min="16092" max="16092" width="13.85546875" style="1" customWidth="1"/>
    <col min="16093" max="16093" width="10.42578125" style="1" customWidth="1"/>
    <col min="16094" max="16094" width="16.7109375" style="1" customWidth="1"/>
    <col min="16095" max="16095" width="16.28515625" style="1" customWidth="1"/>
    <col min="16096" max="16096" width="14.42578125" style="1" customWidth="1"/>
    <col min="16097" max="16097" width="14.85546875" style="1" customWidth="1"/>
    <col min="16098" max="16098" width="13" style="1" customWidth="1"/>
    <col min="16099" max="16099" width="18.7109375" style="1" customWidth="1"/>
    <col min="16100" max="16100" width="6" style="1" customWidth="1"/>
    <col min="16101" max="16101" width="15.28515625" style="1" customWidth="1"/>
    <col min="16102" max="16102" width="28" style="1" customWidth="1"/>
    <col min="16103" max="16103" width="13.5703125" style="1" customWidth="1"/>
    <col min="16104" max="16104" width="15.5703125" style="1" customWidth="1"/>
    <col min="16105" max="16105" width="8.85546875" style="1" customWidth="1"/>
    <col min="16106" max="16106" width="15.28515625" style="1" customWidth="1"/>
    <col min="16107" max="16107" width="15.7109375" style="1" customWidth="1"/>
    <col min="16108" max="16110" width="17.140625" style="1" customWidth="1"/>
    <col min="16111" max="16111" width="35.7109375" style="1" customWidth="1"/>
    <col min="16112" max="16112" width="28.5703125" style="1" customWidth="1"/>
    <col min="16113" max="16113" width="17.140625" style="1" customWidth="1"/>
    <col min="16114" max="16114" width="28.5703125" style="1" customWidth="1"/>
    <col min="16115" max="16384" width="9.140625" style="1"/>
  </cols>
  <sheetData>
    <row r="1" spans="2:20" ht="15" thickBot="1" x14ac:dyDescent="0.3"/>
    <row r="2" spans="2:20" s="4" customFormat="1" ht="24.75" customHeight="1" thickBot="1" x14ac:dyDescent="0.25">
      <c r="B2" s="114" t="s">
        <v>22</v>
      </c>
      <c r="C2" s="115"/>
      <c r="D2" s="115"/>
      <c r="E2" s="115"/>
      <c r="F2" s="115"/>
      <c r="G2" s="115"/>
      <c r="H2" s="115"/>
      <c r="I2" s="115"/>
      <c r="J2" s="116"/>
      <c r="K2" s="23"/>
      <c r="L2" s="114" t="s">
        <v>23</v>
      </c>
      <c r="M2" s="115"/>
      <c r="N2" s="115"/>
      <c r="O2" s="115"/>
      <c r="P2" s="115"/>
      <c r="Q2" s="115"/>
      <c r="R2" s="115"/>
      <c r="S2" s="115"/>
      <c r="T2" s="116"/>
    </row>
    <row r="3" spans="2:20" s="4" customFormat="1" ht="8.25" customHeight="1" thickBot="1" x14ac:dyDescent="0.25">
      <c r="B3" s="24"/>
      <c r="C3" s="24"/>
      <c r="D3" s="24"/>
      <c r="E3" s="24"/>
      <c r="F3" s="24"/>
      <c r="G3" s="24"/>
      <c r="H3" s="24"/>
      <c r="I3" s="23"/>
      <c r="J3" s="23"/>
      <c r="K3" s="23"/>
      <c r="L3" s="24"/>
      <c r="M3" s="24"/>
      <c r="N3" s="24"/>
      <c r="O3" s="24"/>
      <c r="P3" s="24"/>
      <c r="Q3" s="24"/>
      <c r="R3" s="23"/>
      <c r="S3" s="23"/>
    </row>
    <row r="4" spans="2:20" s="5" customFormat="1" ht="18" thickBot="1" x14ac:dyDescent="0.25">
      <c r="B4" s="126" t="s">
        <v>8</v>
      </c>
      <c r="C4" s="127"/>
      <c r="D4" s="123"/>
      <c r="E4" s="124"/>
      <c r="F4" s="124"/>
      <c r="G4" s="124"/>
      <c r="H4" s="124"/>
      <c r="I4" s="124"/>
      <c r="J4" s="125"/>
      <c r="L4" s="126" t="s">
        <v>8</v>
      </c>
      <c r="M4" s="132"/>
      <c r="N4" s="135"/>
      <c r="O4" s="136"/>
      <c r="P4" s="136"/>
      <c r="Q4" s="136"/>
      <c r="R4" s="136"/>
      <c r="S4" s="136"/>
      <c r="T4" s="137"/>
    </row>
    <row r="5" spans="2:20" s="6" customFormat="1" ht="18" thickBot="1" x14ac:dyDescent="0.3">
      <c r="B5" s="128" t="s">
        <v>7</v>
      </c>
      <c r="C5" s="129"/>
      <c r="D5" s="120"/>
      <c r="E5" s="121"/>
      <c r="F5" s="121"/>
      <c r="G5" s="121"/>
      <c r="H5" s="121"/>
      <c r="I5" s="121"/>
      <c r="J5" s="122"/>
      <c r="L5" s="128" t="s">
        <v>7</v>
      </c>
      <c r="M5" s="133"/>
      <c r="N5" s="138"/>
      <c r="O5" s="139"/>
      <c r="P5" s="139"/>
      <c r="Q5" s="139"/>
      <c r="R5" s="139"/>
      <c r="S5" s="139"/>
      <c r="T5" s="140"/>
    </row>
    <row r="6" spans="2:20" s="6" customFormat="1" ht="18" thickBot="1" x14ac:dyDescent="0.3">
      <c r="B6" s="128" t="s">
        <v>9</v>
      </c>
      <c r="C6" s="129"/>
      <c r="D6" s="120"/>
      <c r="E6" s="121"/>
      <c r="F6" s="121"/>
      <c r="G6" s="121"/>
      <c r="H6" s="121"/>
      <c r="I6" s="121"/>
      <c r="J6" s="122"/>
      <c r="L6" s="128" t="s">
        <v>9</v>
      </c>
      <c r="M6" s="133"/>
      <c r="N6" s="138"/>
      <c r="O6" s="139"/>
      <c r="P6" s="139"/>
      <c r="Q6" s="139"/>
      <c r="R6" s="139"/>
      <c r="S6" s="139"/>
      <c r="T6" s="140"/>
    </row>
    <row r="7" spans="2:20" s="6" customFormat="1" ht="18" thickBot="1" x14ac:dyDescent="0.3">
      <c r="B7" s="130" t="s">
        <v>0</v>
      </c>
      <c r="C7" s="131"/>
      <c r="D7" s="117"/>
      <c r="E7" s="118"/>
      <c r="F7" s="118"/>
      <c r="G7" s="118"/>
      <c r="H7" s="118"/>
      <c r="I7" s="118"/>
      <c r="J7" s="119"/>
      <c r="L7" s="130" t="s">
        <v>0</v>
      </c>
      <c r="M7" s="134"/>
      <c r="N7" s="138"/>
      <c r="O7" s="139"/>
      <c r="P7" s="139"/>
      <c r="Q7" s="139"/>
      <c r="R7" s="139"/>
      <c r="S7" s="139"/>
      <c r="T7" s="140"/>
    </row>
    <row r="8" spans="2:20" ht="15" thickBot="1" x14ac:dyDescent="0.3">
      <c r="B8" s="3"/>
      <c r="G8" s="7"/>
      <c r="H8" s="7"/>
      <c r="L8" s="3"/>
      <c r="M8" s="3"/>
      <c r="O8" s="2"/>
      <c r="P8" s="57"/>
      <c r="Q8" s="57"/>
    </row>
    <row r="9" spans="2:20" s="8" customFormat="1" ht="42" customHeight="1" thickBot="1" x14ac:dyDescent="0.25">
      <c r="B9" s="19" t="s">
        <v>1</v>
      </c>
      <c r="C9" s="20" t="s">
        <v>2</v>
      </c>
      <c r="D9" s="20" t="s">
        <v>15</v>
      </c>
      <c r="E9" s="20" t="s">
        <v>3</v>
      </c>
      <c r="F9" s="20" t="s">
        <v>4</v>
      </c>
      <c r="G9" s="21" t="s">
        <v>5</v>
      </c>
      <c r="H9" s="21" t="s">
        <v>25</v>
      </c>
      <c r="I9" s="21" t="s">
        <v>16</v>
      </c>
      <c r="J9" s="22" t="s">
        <v>17</v>
      </c>
      <c r="L9" s="62" t="s">
        <v>18</v>
      </c>
      <c r="M9" s="63" t="s">
        <v>15</v>
      </c>
      <c r="N9" s="64" t="s">
        <v>19</v>
      </c>
      <c r="O9" s="65" t="s">
        <v>21</v>
      </c>
      <c r="P9" s="105" t="s">
        <v>39</v>
      </c>
      <c r="Q9" s="66" t="s">
        <v>5</v>
      </c>
      <c r="R9" s="67" t="s">
        <v>6</v>
      </c>
      <c r="S9" s="68" t="s">
        <v>16</v>
      </c>
      <c r="T9" s="69" t="s">
        <v>17</v>
      </c>
    </row>
    <row r="10" spans="2:20" s="8" customFormat="1" x14ac:dyDescent="0.2">
      <c r="B10" s="9"/>
      <c r="C10" s="10"/>
      <c r="D10" s="11" t="str">
        <f>IFERROR(VLOOKUP(Tabella29[[#This Row],[Codice Articolo]],#REF!,2,),"")</f>
        <v/>
      </c>
      <c r="E10" s="11" t="str">
        <f>IFERROR(VLOOKUP(Tabella29[[#This Row],[Codice Articolo]],#REF!,3,),"")</f>
        <v/>
      </c>
      <c r="F10" s="11"/>
      <c r="G10" s="56" t="str">
        <f>IFERROR(VLOOKUP(Tabella29[[#This Row],[Codice Articolo]],#REF!,4,),"")</f>
        <v/>
      </c>
      <c r="H10" s="12" t="str">
        <f>IFERROR(Tabella29[[#This Row],[Q.tà]]*Tabella29[[#This Row],[Unitario]],"")</f>
        <v/>
      </c>
      <c r="I10" s="13">
        <v>0.5</v>
      </c>
      <c r="J10" s="14" t="str">
        <f>IFERROR(Tabella29[[#This Row],[Costo Totale]]+(Tabella29[[#This Row],[Costo Totale]]*Tabella29[[#This Row],[Ricarico]]),"")</f>
        <v/>
      </c>
      <c r="L10" s="77"/>
      <c r="M10" s="76"/>
      <c r="N10" s="101"/>
      <c r="O10" s="76"/>
      <c r="P10" s="76">
        <f>Tabella11415[[#This Row],[N. Persone]]*Tabella11415[[#This Row],[Q.tà (ORE)]]</f>
        <v>0</v>
      </c>
      <c r="Q10" s="102">
        <v>30</v>
      </c>
      <c r="R10" s="78">
        <f>Tabella11415[[#This Row],[ORE TOTALI]]*Tabella11415[[#This Row],[Unitario]]</f>
        <v>0</v>
      </c>
      <c r="S10" s="103">
        <v>0.5</v>
      </c>
      <c r="T10" s="104">
        <f>Tabella11415[[#This Row],[Totale]]+(Tabella11415[[#This Row],[Totale]]*Tabella11415[[#This Row],[Ricarico]])</f>
        <v>0</v>
      </c>
    </row>
    <row r="11" spans="2:20" s="8" customFormat="1" x14ac:dyDescent="0.2">
      <c r="B11" s="9"/>
      <c r="C11" s="16"/>
      <c r="D11" s="11" t="str">
        <f>IFERROR(VLOOKUP(Tabella29[[#This Row],[Codice Articolo]],#REF!,2,),"")</f>
        <v/>
      </c>
      <c r="E11" s="11" t="str">
        <f>IFERROR(VLOOKUP(Tabella29[[#This Row],[Codice Articolo]],#REF!,3,),"")</f>
        <v/>
      </c>
      <c r="F11" s="17"/>
      <c r="G11" s="56" t="str">
        <f>IFERROR(VLOOKUP(Tabella29[[#This Row],[Codice Articolo]],#REF!,4,),"")</f>
        <v/>
      </c>
      <c r="H11" s="12" t="str">
        <f>IFERROR(Tabella29[[#This Row],[Q.tà]]*Tabella29[[#This Row],[Unitario]],"")</f>
        <v/>
      </c>
      <c r="I11" s="13">
        <v>0.5</v>
      </c>
      <c r="J11" s="14" t="str">
        <f>IFERROR(Tabella29[[#This Row],[Costo Totale]]+(Tabella29[[#This Row],[Costo Totale]]*Tabella29[[#This Row],[Ricarico]]),"")</f>
        <v/>
      </c>
      <c r="L11" s="77"/>
      <c r="M11" s="76"/>
      <c r="N11" s="101"/>
      <c r="O11" s="76"/>
      <c r="P11" s="76">
        <f>Tabella11415[[#This Row],[N. Persone]]*Tabella11415[[#This Row],[Q.tà (ORE)]]</f>
        <v>0</v>
      </c>
      <c r="Q11" s="102">
        <v>30</v>
      </c>
      <c r="R11" s="78">
        <f>Tabella11415[[#This Row],[ORE TOTALI]]*Tabella11415[[#This Row],[Unitario]]</f>
        <v>0</v>
      </c>
      <c r="S11" s="103">
        <v>0.5</v>
      </c>
      <c r="T11" s="104">
        <f>Tabella11415[[#This Row],[Totale]]+(Tabella11415[[#This Row],[Totale]]*Tabella11415[[#This Row],[Ricarico]])</f>
        <v>0</v>
      </c>
    </row>
    <row r="12" spans="2:20" s="8" customFormat="1" x14ac:dyDescent="0.2">
      <c r="B12" s="9"/>
      <c r="C12" s="16"/>
      <c r="D12" s="11" t="str">
        <f>IFERROR(VLOOKUP(Tabella29[[#This Row],[Codice Articolo]],#REF!,2,),"")</f>
        <v/>
      </c>
      <c r="E12" s="11" t="str">
        <f>IFERROR(VLOOKUP(Tabella29[[#This Row],[Codice Articolo]],#REF!,3,),"")</f>
        <v/>
      </c>
      <c r="F12" s="44"/>
      <c r="G12" s="56" t="str">
        <f>IFERROR(VLOOKUP(Tabella29[[#This Row],[Codice Articolo]],#REF!,4,),"")</f>
        <v/>
      </c>
      <c r="H12" s="12" t="str">
        <f>IFERROR(Tabella29[[#This Row],[Q.tà]]*Tabella29[[#This Row],[Unitario]],"")</f>
        <v/>
      </c>
      <c r="I12" s="13">
        <v>0.5</v>
      </c>
      <c r="J12" s="14" t="str">
        <f>IFERROR(Tabella29[[#This Row],[Costo Totale]]+(Tabella29[[#This Row],[Costo Totale]]*Tabella29[[#This Row],[Ricarico]]),"")</f>
        <v/>
      </c>
      <c r="L12" s="77"/>
      <c r="M12" s="76"/>
      <c r="N12" s="101"/>
      <c r="O12" s="76"/>
      <c r="P12" s="76">
        <f>Tabella11415[[#This Row],[N. Persone]]*Tabella11415[[#This Row],[Q.tà (ORE)]]</f>
        <v>0</v>
      </c>
      <c r="Q12" s="102">
        <v>30</v>
      </c>
      <c r="R12" s="78">
        <f>Tabella11415[[#This Row],[ORE TOTALI]]*Tabella11415[[#This Row],[Unitario]]</f>
        <v>0</v>
      </c>
      <c r="S12" s="103">
        <v>0.5</v>
      </c>
      <c r="T12" s="104">
        <f>Tabella11415[[#This Row],[Totale]]+(Tabella11415[[#This Row],[Totale]]*Tabella11415[[#This Row],[Ricarico]])</f>
        <v>0</v>
      </c>
    </row>
    <row r="13" spans="2:20" s="8" customFormat="1" ht="17.25" customHeight="1" x14ac:dyDescent="0.2">
      <c r="B13" s="9"/>
      <c r="C13" s="16"/>
      <c r="D13" s="11" t="str">
        <f>IFERROR(VLOOKUP(Tabella29[[#This Row],[Codice Articolo]],#REF!,2,),"")</f>
        <v/>
      </c>
      <c r="E13" s="11" t="str">
        <f>IFERROR(VLOOKUP(Tabella29[[#This Row],[Codice Articolo]],#REF!,3,),"")</f>
        <v/>
      </c>
      <c r="F13" s="17"/>
      <c r="G13" s="56" t="str">
        <f>IFERROR(VLOOKUP(Tabella29[[#This Row],[Codice Articolo]],#REF!,4,),"")</f>
        <v/>
      </c>
      <c r="H13" s="12" t="str">
        <f>IFERROR(Tabella29[[#This Row],[Q.tà]]*Tabella29[[#This Row],[Unitario]],"")</f>
        <v/>
      </c>
      <c r="I13" s="13">
        <v>0.5</v>
      </c>
      <c r="J13" s="14" t="str">
        <f>IFERROR(Tabella29[[#This Row],[Costo Totale]]+(Tabella29[[#This Row],[Costo Totale]]*Tabella29[[#This Row],[Ricarico]]),"")</f>
        <v/>
      </c>
      <c r="L13" s="77"/>
      <c r="M13" s="76"/>
      <c r="N13" s="101"/>
      <c r="O13" s="76"/>
      <c r="P13" s="76">
        <f>Tabella11415[[#This Row],[N. Persone]]*Tabella11415[[#This Row],[Q.tà (ORE)]]</f>
        <v>0</v>
      </c>
      <c r="Q13" s="102">
        <v>30</v>
      </c>
      <c r="R13" s="78">
        <f>Tabella11415[[#This Row],[ORE TOTALI]]*Tabella11415[[#This Row],[Unitario]]</f>
        <v>0</v>
      </c>
      <c r="S13" s="103">
        <v>0.5</v>
      </c>
      <c r="T13" s="104">
        <f>Tabella11415[[#This Row],[Totale]]+(Tabella11415[[#This Row],[Totale]]*Tabella11415[[#This Row],[Ricarico]])</f>
        <v>0</v>
      </c>
    </row>
    <row r="14" spans="2:20" s="8" customFormat="1" x14ac:dyDescent="0.2">
      <c r="B14" s="15"/>
      <c r="C14" s="16"/>
      <c r="D14" s="11" t="str">
        <f>IFERROR(VLOOKUP(Tabella29[[#This Row],[Codice Articolo]],#REF!,2,),"")</f>
        <v/>
      </c>
      <c r="E14" s="11" t="str">
        <f>IFERROR(VLOOKUP(Tabella29[[#This Row],[Codice Articolo]],#REF!,3,),"")</f>
        <v/>
      </c>
      <c r="F14" s="17"/>
      <c r="G14" s="56" t="str">
        <f>IFERROR(VLOOKUP(Tabella29[[#This Row],[Codice Articolo]],#REF!,4,),"")</f>
        <v/>
      </c>
      <c r="H14" s="12" t="str">
        <f>IFERROR(Tabella29[[#This Row],[Q.tà]]*Tabella29[[#This Row],[Unitario]],"")</f>
        <v/>
      </c>
      <c r="I14" s="13">
        <v>0.5</v>
      </c>
      <c r="J14" s="14" t="str">
        <f>IFERROR(Tabella29[[#This Row],[Costo Totale]]+(Tabella29[[#This Row],[Costo Totale]]*Tabella29[[#This Row],[Ricarico]]),"")</f>
        <v/>
      </c>
      <c r="L14" s="77"/>
      <c r="M14" s="76"/>
      <c r="N14" s="101"/>
      <c r="O14" s="76"/>
      <c r="P14" s="76">
        <f>Tabella11415[[#This Row],[N. Persone]]*Tabella11415[[#This Row],[Q.tà (ORE)]]</f>
        <v>0</v>
      </c>
      <c r="Q14" s="102">
        <v>30</v>
      </c>
      <c r="R14" s="78">
        <f>Tabella11415[[#This Row],[ORE TOTALI]]*Tabella11415[[#This Row],[Unitario]]</f>
        <v>0</v>
      </c>
      <c r="S14" s="103">
        <v>0.5</v>
      </c>
      <c r="T14" s="104">
        <f>Tabella11415[[#This Row],[Totale]]+(Tabella11415[[#This Row],[Totale]]*Tabella11415[[#This Row],[Ricarico]])</f>
        <v>0</v>
      </c>
    </row>
    <row r="15" spans="2:20" s="8" customFormat="1" x14ac:dyDescent="0.2">
      <c r="B15" s="15"/>
      <c r="C15" s="16"/>
      <c r="D15" s="11" t="str">
        <f>IFERROR(VLOOKUP(Tabella29[[#This Row],[Codice Articolo]],#REF!,2,),"")</f>
        <v/>
      </c>
      <c r="E15" s="11" t="str">
        <f>IFERROR(VLOOKUP(Tabella29[[#This Row],[Codice Articolo]],#REF!,3,),"")</f>
        <v/>
      </c>
      <c r="F15" s="17"/>
      <c r="G15" s="56" t="str">
        <f>IFERROR(VLOOKUP(Tabella29[[#This Row],[Codice Articolo]],#REF!,4,),"")</f>
        <v/>
      </c>
      <c r="H15" s="12" t="str">
        <f>IFERROR(Tabella29[[#This Row],[Q.tà]]*Tabella29[[#This Row],[Unitario]],"")</f>
        <v/>
      </c>
      <c r="I15" s="13">
        <v>0.5</v>
      </c>
      <c r="J15" s="14" t="str">
        <f>IFERROR(Tabella29[[#This Row],[Costo Totale]]+(Tabella29[[#This Row],[Costo Totale]]*Tabella29[[#This Row],[Ricarico]]),"")</f>
        <v/>
      </c>
      <c r="L15" s="77"/>
      <c r="M15" s="76"/>
      <c r="N15" s="101"/>
      <c r="O15" s="76"/>
      <c r="P15" s="76">
        <f>Tabella11415[[#This Row],[N. Persone]]*Tabella11415[[#This Row],[Q.tà (ORE)]]</f>
        <v>0</v>
      </c>
      <c r="Q15" s="102">
        <v>30</v>
      </c>
      <c r="R15" s="78">
        <f>Tabella11415[[#This Row],[ORE TOTALI]]*Tabella11415[[#This Row],[Unitario]]</f>
        <v>0</v>
      </c>
      <c r="S15" s="103">
        <v>0.5</v>
      </c>
      <c r="T15" s="104">
        <f>Tabella11415[[#This Row],[Totale]]+(Tabella11415[[#This Row],[Totale]]*Tabella11415[[#This Row],[Ricarico]])</f>
        <v>0</v>
      </c>
    </row>
    <row r="16" spans="2:20" s="8" customFormat="1" x14ac:dyDescent="0.2">
      <c r="B16" s="15"/>
      <c r="C16" s="16"/>
      <c r="D16" s="11" t="str">
        <f>IFERROR(VLOOKUP(Tabella29[[#This Row],[Codice Articolo]],#REF!,2,),"")</f>
        <v/>
      </c>
      <c r="E16" s="11" t="str">
        <f>IFERROR(VLOOKUP(Tabella29[[#This Row],[Codice Articolo]],#REF!,3,),"")</f>
        <v/>
      </c>
      <c r="F16" s="17"/>
      <c r="G16" s="56" t="str">
        <f>IFERROR(VLOOKUP(Tabella29[[#This Row],[Codice Articolo]],#REF!,4,),"")</f>
        <v/>
      </c>
      <c r="H16" s="12" t="str">
        <f>IFERROR(Tabella29[[#This Row],[Q.tà]]*Tabella29[[#This Row],[Unitario]],"")</f>
        <v/>
      </c>
      <c r="I16" s="13">
        <v>0.5</v>
      </c>
      <c r="J16" s="14" t="str">
        <f>IFERROR(Tabella29[[#This Row],[Costo Totale]]+(Tabella29[[#This Row],[Costo Totale]]*Tabella29[[#This Row],[Ricarico]]),"")</f>
        <v/>
      </c>
      <c r="L16" s="77"/>
      <c r="M16" s="76"/>
      <c r="N16" s="101"/>
      <c r="O16" s="76"/>
      <c r="P16" s="76">
        <f>Tabella11415[[#This Row],[N. Persone]]*Tabella11415[[#This Row],[Q.tà (ORE)]]</f>
        <v>0</v>
      </c>
      <c r="Q16" s="102">
        <v>30</v>
      </c>
      <c r="R16" s="78">
        <f>Tabella11415[[#This Row],[ORE TOTALI]]*Tabella11415[[#This Row],[Unitario]]</f>
        <v>0</v>
      </c>
      <c r="S16" s="103">
        <v>0.5</v>
      </c>
      <c r="T16" s="104">
        <f>Tabella11415[[#This Row],[Totale]]+(Tabella11415[[#This Row],[Totale]]*Tabella11415[[#This Row],[Ricarico]])</f>
        <v>0</v>
      </c>
    </row>
    <row r="17" spans="2:20" s="8" customFormat="1" x14ac:dyDescent="0.2">
      <c r="B17" s="15"/>
      <c r="C17" s="16"/>
      <c r="D17" s="11" t="str">
        <f>IFERROR(VLOOKUP(Tabella29[[#This Row],[Codice Articolo]],#REF!,2,),"")</f>
        <v/>
      </c>
      <c r="E17" s="11" t="str">
        <f>IFERROR(VLOOKUP(Tabella29[[#This Row],[Codice Articolo]],#REF!,3,),"")</f>
        <v/>
      </c>
      <c r="F17" s="17"/>
      <c r="G17" s="56" t="str">
        <f>IFERROR(VLOOKUP(Tabella29[[#This Row],[Codice Articolo]],#REF!,4,),"")</f>
        <v/>
      </c>
      <c r="H17" s="12" t="str">
        <f>IFERROR(Tabella29[[#This Row],[Q.tà]]*Tabella29[[#This Row],[Unitario]],"")</f>
        <v/>
      </c>
      <c r="I17" s="13">
        <v>0.5</v>
      </c>
      <c r="J17" s="14" t="str">
        <f>IFERROR(Tabella29[[#This Row],[Costo Totale]]+(Tabella29[[#This Row],[Costo Totale]]*Tabella29[[#This Row],[Ricarico]]),"")</f>
        <v/>
      </c>
      <c r="L17" s="77"/>
      <c r="M17" s="76"/>
      <c r="N17" s="101"/>
      <c r="O17" s="76"/>
      <c r="P17" s="76">
        <f>Tabella11415[[#This Row],[N. Persone]]*Tabella11415[[#This Row],[Q.tà (ORE)]]</f>
        <v>0</v>
      </c>
      <c r="Q17" s="102">
        <v>30</v>
      </c>
      <c r="R17" s="78">
        <f>Tabella11415[[#This Row],[ORE TOTALI]]*Tabella11415[[#This Row],[Unitario]]</f>
        <v>0</v>
      </c>
      <c r="S17" s="103">
        <v>0.5</v>
      </c>
      <c r="T17" s="104">
        <f>Tabella11415[[#This Row],[Totale]]+(Tabella11415[[#This Row],[Totale]]*Tabella11415[[#This Row],[Ricarico]])</f>
        <v>0</v>
      </c>
    </row>
    <row r="18" spans="2:20" s="8" customFormat="1" ht="15" thickBot="1" x14ac:dyDescent="0.25">
      <c r="B18" s="25"/>
      <c r="C18" s="26"/>
      <c r="D18" s="11" t="str">
        <f>IFERROR(VLOOKUP(Tabella29[[#This Row],[Codice Articolo]],#REF!,2,),"")</f>
        <v/>
      </c>
      <c r="E18" s="11" t="str">
        <f>IFERROR(VLOOKUP(Tabella29[[#This Row],[Codice Articolo]],#REF!,3,),"")</f>
        <v/>
      </c>
      <c r="F18" s="44"/>
      <c r="G18" s="56" t="str">
        <f>IFERROR(VLOOKUP(Tabella29[[#This Row],[Codice Articolo]],#REF!,4,),"")</f>
        <v/>
      </c>
      <c r="H18" s="12" t="str">
        <f>IFERROR(Tabella29[[#This Row],[Q.tà]]*Tabella29[[#This Row],[Unitario]],"")</f>
        <v/>
      </c>
      <c r="I18" s="13">
        <v>0.5</v>
      </c>
      <c r="J18" s="14" t="str">
        <f>IFERROR(Tabella29[[#This Row],[Costo Totale]]+(Tabella29[[#This Row],[Costo Totale]]*Tabella29[[#This Row],[Ricarico]]),"")</f>
        <v/>
      </c>
      <c r="L18" s="77"/>
      <c r="M18" s="76"/>
      <c r="N18" s="101"/>
      <c r="O18" s="76"/>
      <c r="P18" s="76">
        <f>Tabella11415[[#This Row],[N. Persone]]*Tabella11415[[#This Row],[Q.tà (ORE)]]</f>
        <v>0</v>
      </c>
      <c r="Q18" s="102">
        <v>30</v>
      </c>
      <c r="R18" s="78">
        <f>Tabella11415[[#This Row],[ORE TOTALI]]*Tabella11415[[#This Row],[Unitario]]</f>
        <v>0</v>
      </c>
      <c r="S18" s="103">
        <v>0.5</v>
      </c>
      <c r="T18" s="104">
        <f>Tabella11415[[#This Row],[Totale]]+(Tabella11415[[#This Row],[Totale]]*Tabella11415[[#This Row],[Ricarico]])</f>
        <v>0</v>
      </c>
    </row>
    <row r="19" spans="2:20" s="8" customFormat="1" ht="15" thickBot="1" x14ac:dyDescent="0.25">
      <c r="B19" s="27" t="s">
        <v>6</v>
      </c>
      <c r="C19" s="28"/>
      <c r="D19" s="29"/>
      <c r="E19" s="30"/>
      <c r="F19" s="30"/>
      <c r="G19" s="31"/>
      <c r="H19" s="18">
        <f>SUBTOTAL(109,Tabella29[Costo Totale])</f>
        <v>0</v>
      </c>
      <c r="I19" s="45"/>
      <c r="J19" s="18">
        <f>SUBTOTAL(109,Tabella29[Vendita])</f>
        <v>0</v>
      </c>
      <c r="L19" s="77"/>
      <c r="M19" s="76"/>
      <c r="N19" s="101"/>
      <c r="O19" s="76"/>
      <c r="P19" s="76">
        <f>Tabella11415[[#This Row],[N. Persone]]*Tabella11415[[#This Row],[Q.tà (ORE)]]</f>
        <v>0</v>
      </c>
      <c r="Q19" s="102">
        <v>30</v>
      </c>
      <c r="R19" s="78">
        <f>Tabella11415[[#This Row],[ORE TOTALI]]*Tabella11415[[#This Row],[Unitario]]</f>
        <v>0</v>
      </c>
      <c r="S19" s="103">
        <v>0.5</v>
      </c>
      <c r="T19" s="104">
        <f>Tabella11415[[#This Row],[Totale]]+(Tabella11415[[#This Row],[Totale]]*Tabella11415[[#This Row],[Ricarico]])</f>
        <v>0</v>
      </c>
    </row>
    <row r="20" spans="2:20" s="8" customFormat="1" x14ac:dyDescent="0.25">
      <c r="B20" s="1"/>
      <c r="C20" s="1"/>
      <c r="D20" s="1"/>
      <c r="E20" s="1"/>
      <c r="F20" s="1"/>
      <c r="G20" s="1"/>
      <c r="H20" s="1"/>
      <c r="I20" s="1"/>
      <c r="J20" s="1"/>
      <c r="L20" s="77"/>
      <c r="M20" s="76"/>
      <c r="N20" s="101"/>
      <c r="O20" s="76"/>
      <c r="P20" s="76">
        <f>Tabella11415[[#This Row],[N. Persone]]*Tabella11415[[#This Row],[Q.tà (ORE)]]</f>
        <v>0</v>
      </c>
      <c r="Q20" s="102">
        <v>30</v>
      </c>
      <c r="R20" s="78">
        <f>Tabella11415[[#This Row],[ORE TOTALI]]*Tabella11415[[#This Row],[Unitario]]</f>
        <v>0</v>
      </c>
      <c r="S20" s="103">
        <v>0.5</v>
      </c>
      <c r="T20" s="104">
        <f>Tabella11415[[#This Row],[Totale]]+(Tabella11415[[#This Row],[Totale]]*Tabella11415[[#This Row],[Ricarico]])</f>
        <v>0</v>
      </c>
    </row>
    <row r="21" spans="2:20" s="8" customFormat="1" x14ac:dyDescent="0.25">
      <c r="B21" s="1"/>
      <c r="C21" s="1"/>
      <c r="D21" s="1"/>
      <c r="E21" s="1"/>
      <c r="F21" s="1"/>
      <c r="G21" s="1"/>
      <c r="H21" s="1"/>
      <c r="I21" s="1"/>
      <c r="J21" s="1"/>
      <c r="L21" s="77"/>
      <c r="M21" s="76"/>
      <c r="N21" s="101"/>
      <c r="O21" s="76"/>
      <c r="P21" s="76">
        <f>Tabella11415[[#This Row],[N. Persone]]*Tabella11415[[#This Row],[Q.tà (ORE)]]</f>
        <v>0</v>
      </c>
      <c r="Q21" s="102">
        <v>30</v>
      </c>
      <c r="R21" s="78">
        <f>Tabella11415[[#This Row],[ORE TOTALI]]*Tabella11415[[#This Row],[Unitario]]</f>
        <v>0</v>
      </c>
      <c r="S21" s="103">
        <v>0.5</v>
      </c>
      <c r="T21" s="104">
        <f>Tabella11415[[#This Row],[Totale]]+(Tabella11415[[#This Row],[Totale]]*Tabella11415[[#This Row],[Ricarico]])</f>
        <v>0</v>
      </c>
    </row>
    <row r="22" spans="2:20" s="8" customFormat="1" x14ac:dyDescent="0.25">
      <c r="B22" s="1"/>
      <c r="C22" s="1"/>
      <c r="D22" s="1"/>
      <c r="E22" s="1"/>
      <c r="F22" s="1"/>
      <c r="G22" s="1"/>
      <c r="H22" s="1"/>
      <c r="I22" s="1"/>
      <c r="J22" s="1"/>
      <c r="L22" s="77"/>
      <c r="M22" s="76"/>
      <c r="N22" s="101"/>
      <c r="O22" s="76"/>
      <c r="P22" s="76">
        <f>Tabella11415[[#This Row],[N. Persone]]*Tabella11415[[#This Row],[Q.tà (ORE)]]</f>
        <v>0</v>
      </c>
      <c r="Q22" s="102">
        <v>30</v>
      </c>
      <c r="R22" s="78">
        <f>Tabella11415[[#This Row],[ORE TOTALI]]*Tabella11415[[#This Row],[Unitario]]</f>
        <v>0</v>
      </c>
      <c r="S22" s="103">
        <v>0.5</v>
      </c>
      <c r="T22" s="104">
        <f>Tabella11415[[#This Row],[Totale]]+(Tabella11415[[#This Row],[Totale]]*Tabella11415[[#This Row],[Ricarico]])</f>
        <v>0</v>
      </c>
    </row>
    <row r="23" spans="2:20" s="8" customFormat="1" x14ac:dyDescent="0.25">
      <c r="B23" s="1"/>
      <c r="C23" s="1"/>
      <c r="D23" s="1"/>
      <c r="E23" s="1"/>
      <c r="F23" s="1"/>
      <c r="G23" s="1"/>
      <c r="H23" s="1"/>
      <c r="I23" s="1"/>
      <c r="J23" s="1"/>
      <c r="L23" s="77"/>
      <c r="M23" s="76"/>
      <c r="N23" s="101"/>
      <c r="O23" s="76"/>
      <c r="P23" s="76">
        <f>Tabella11415[[#This Row],[N. Persone]]*Tabella11415[[#This Row],[Q.tà (ORE)]]</f>
        <v>0</v>
      </c>
      <c r="Q23" s="102">
        <v>30</v>
      </c>
      <c r="R23" s="78">
        <f>Tabella11415[[#This Row],[ORE TOTALI]]*Tabella11415[[#This Row],[Unitario]]</f>
        <v>0</v>
      </c>
      <c r="S23" s="103">
        <v>0.5</v>
      </c>
      <c r="T23" s="104">
        <f>Tabella11415[[#This Row],[Totale]]+(Tabella11415[[#This Row],[Totale]]*Tabella11415[[#This Row],[Ricarico]])</f>
        <v>0</v>
      </c>
    </row>
    <row r="24" spans="2:20" s="8" customFormat="1" ht="15" thickBot="1" x14ac:dyDescent="0.3">
      <c r="B24" s="1"/>
      <c r="C24" s="1"/>
      <c r="D24" s="1"/>
      <c r="E24" s="1"/>
      <c r="F24" s="1"/>
      <c r="G24" s="1"/>
      <c r="H24" s="1"/>
      <c r="I24" s="1"/>
      <c r="J24" s="1"/>
      <c r="L24" s="79"/>
      <c r="M24" s="80"/>
      <c r="N24" s="80"/>
      <c r="O24" s="100"/>
      <c r="P24" s="76">
        <f>Tabella11415[[#This Row],[N. Persone]]*Tabella11415[[#This Row],[Q.tà (ORE)]]</f>
        <v>0</v>
      </c>
      <c r="Q24" s="102">
        <v>30</v>
      </c>
      <c r="R24" s="78">
        <f>Tabella11415[[#This Row],[ORE TOTALI]]*Tabella11415[[#This Row],[Unitario]]</f>
        <v>0</v>
      </c>
      <c r="S24" s="103">
        <v>0.5</v>
      </c>
      <c r="T24" s="104">
        <f>Tabella11415[[#This Row],[Totale]]+(Tabella11415[[#This Row],[Totale]]*Tabella11415[[#This Row],[Ricarico]])</f>
        <v>0</v>
      </c>
    </row>
    <row r="25" spans="2:20" s="8" customFormat="1" ht="15" thickBot="1" x14ac:dyDescent="0.3">
      <c r="B25" s="1"/>
      <c r="C25" s="1"/>
      <c r="D25" s="1"/>
      <c r="E25" s="2"/>
      <c r="F25" s="3"/>
      <c r="G25" s="1"/>
      <c r="H25" s="1"/>
      <c r="I25" s="1"/>
      <c r="J25" s="1"/>
      <c r="L25" s="81" t="s">
        <v>6</v>
      </c>
      <c r="M25" s="82"/>
      <c r="N25" s="83"/>
      <c r="O25" s="84"/>
      <c r="P25" s="84">
        <f>SUBTOTAL(109,Tabella11415[ORE TOTALI])</f>
        <v>0</v>
      </c>
      <c r="Q25" s="85"/>
      <c r="R25" s="86">
        <f>SUBTOTAL(109,Tabella11415[Totale])</f>
        <v>0</v>
      </c>
      <c r="S25" s="85"/>
      <c r="T25" s="86">
        <f>SUBTOTAL(109,Tabella11415[Vendita])</f>
        <v>0</v>
      </c>
    </row>
    <row r="26" spans="2:20" s="8" customFormat="1" x14ac:dyDescent="0.25">
      <c r="B26" s="1"/>
      <c r="C26" s="1"/>
      <c r="D26" s="1"/>
      <c r="E26" s="2"/>
      <c r="F26" s="3"/>
      <c r="G26" s="1"/>
      <c r="H26" s="1"/>
      <c r="I26" s="1"/>
      <c r="J26" s="1"/>
    </row>
    <row r="27" spans="2:20" s="8" customFormat="1" x14ac:dyDescent="0.25">
      <c r="B27" s="1"/>
      <c r="C27" s="1"/>
      <c r="D27" s="1"/>
      <c r="E27" s="2"/>
      <c r="F27" s="3"/>
      <c r="G27" s="1"/>
      <c r="H27" s="1"/>
      <c r="I27" s="1"/>
      <c r="J27" s="1"/>
    </row>
    <row r="28" spans="2:20" s="8" customFormat="1" x14ac:dyDescent="0.25">
      <c r="B28" s="1"/>
      <c r="C28" s="1"/>
      <c r="D28" s="1"/>
      <c r="E28" s="2"/>
      <c r="F28" s="3"/>
      <c r="G28" s="1"/>
      <c r="H28" s="1"/>
      <c r="I28" s="1"/>
      <c r="J28" s="1"/>
    </row>
    <row r="29" spans="2:20" s="8" customFormat="1" x14ac:dyDescent="0.25">
      <c r="B29" s="1"/>
      <c r="C29" s="1"/>
      <c r="D29" s="1"/>
      <c r="E29" s="2"/>
      <c r="F29" s="3"/>
      <c r="G29" s="1"/>
      <c r="H29" s="1"/>
      <c r="I29" s="1"/>
      <c r="J29" s="1"/>
    </row>
    <row r="30" spans="2:20" s="8" customFormat="1" x14ac:dyDescent="0.25">
      <c r="B30" s="1"/>
      <c r="C30" s="1"/>
      <c r="D30" s="1"/>
      <c r="E30" s="2"/>
      <c r="F30" s="3"/>
      <c r="G30" s="1"/>
      <c r="H30" s="1"/>
      <c r="I30" s="1"/>
      <c r="J30" s="1"/>
    </row>
    <row r="31" spans="2:20" s="8" customFormat="1" x14ac:dyDescent="0.25">
      <c r="B31" s="1"/>
      <c r="C31" s="1"/>
      <c r="D31" s="1"/>
      <c r="E31" s="2"/>
      <c r="F31" s="3"/>
      <c r="G31" s="1"/>
      <c r="H31" s="1"/>
      <c r="I31" s="1"/>
      <c r="J31" s="1"/>
    </row>
    <row r="32" spans="2:20" s="8" customFormat="1" x14ac:dyDescent="0.25">
      <c r="B32" s="1"/>
      <c r="C32" s="1"/>
      <c r="D32" s="1"/>
      <c r="E32" s="2"/>
      <c r="F32" s="3"/>
      <c r="G32" s="1"/>
      <c r="H32" s="1"/>
      <c r="I32" s="1"/>
      <c r="J32" s="1"/>
    </row>
    <row r="33" spans="2:10" s="8" customFormat="1" x14ac:dyDescent="0.25">
      <c r="B33" s="1"/>
      <c r="C33" s="1"/>
      <c r="D33" s="1"/>
      <c r="E33" s="2"/>
      <c r="F33" s="3"/>
      <c r="G33" s="1"/>
      <c r="H33" s="1"/>
      <c r="I33" s="1"/>
      <c r="J33" s="1"/>
    </row>
    <row r="34" spans="2:10" s="8" customFormat="1" x14ac:dyDescent="0.25">
      <c r="B34" s="1"/>
      <c r="C34" s="1"/>
      <c r="D34" s="1"/>
      <c r="E34" s="2"/>
      <c r="F34" s="3"/>
      <c r="G34" s="1"/>
      <c r="H34" s="1"/>
      <c r="I34" s="1"/>
      <c r="J34" s="1"/>
    </row>
    <row r="35" spans="2:10" s="8" customFormat="1" x14ac:dyDescent="0.25">
      <c r="B35" s="1"/>
      <c r="C35" s="1"/>
      <c r="D35" s="1"/>
      <c r="E35" s="2"/>
      <c r="F35" s="3"/>
      <c r="G35" s="1"/>
      <c r="H35" s="1"/>
      <c r="I35" s="1"/>
      <c r="J35" s="1"/>
    </row>
    <row r="36" spans="2:10" s="8" customFormat="1" x14ac:dyDescent="0.25">
      <c r="B36" s="1"/>
      <c r="C36" s="1"/>
      <c r="D36" s="1"/>
      <c r="E36" s="2"/>
      <c r="F36" s="3"/>
      <c r="G36" s="1"/>
      <c r="H36" s="1"/>
      <c r="I36" s="1"/>
      <c r="J36" s="1"/>
    </row>
    <row r="37" spans="2:10" s="8" customFormat="1" x14ac:dyDescent="0.25">
      <c r="B37" s="1"/>
      <c r="C37" s="1"/>
      <c r="D37" s="1"/>
      <c r="E37" s="2"/>
      <c r="F37" s="3"/>
      <c r="G37" s="1"/>
      <c r="H37" s="1"/>
      <c r="I37" s="1"/>
      <c r="J37" s="1"/>
    </row>
    <row r="38" spans="2:10" s="8" customFormat="1" x14ac:dyDescent="0.25">
      <c r="B38" s="1"/>
      <c r="C38" s="1"/>
      <c r="D38" s="1"/>
      <c r="E38" s="2"/>
      <c r="F38" s="3"/>
      <c r="G38" s="1"/>
      <c r="H38" s="1"/>
      <c r="I38" s="1"/>
      <c r="J38" s="1"/>
    </row>
    <row r="39" spans="2:10" s="8" customFormat="1" x14ac:dyDescent="0.25">
      <c r="B39" s="1"/>
      <c r="C39" s="1"/>
      <c r="D39" s="1"/>
      <c r="E39" s="2"/>
      <c r="F39" s="3"/>
      <c r="G39" s="1"/>
      <c r="H39" s="1"/>
      <c r="I39" s="1"/>
      <c r="J39" s="1"/>
    </row>
    <row r="40" spans="2:10" s="8" customFormat="1" x14ac:dyDescent="0.25">
      <c r="B40" s="1"/>
      <c r="C40" s="1"/>
      <c r="D40" s="1"/>
      <c r="E40" s="2"/>
      <c r="F40" s="3"/>
      <c r="G40" s="1"/>
      <c r="H40" s="1"/>
      <c r="I40" s="1"/>
      <c r="J40" s="1"/>
    </row>
    <row r="41" spans="2:10" s="8" customFormat="1" x14ac:dyDescent="0.25">
      <c r="B41" s="1"/>
      <c r="C41" s="1"/>
      <c r="D41" s="1"/>
      <c r="E41" s="2"/>
      <c r="F41" s="3"/>
      <c r="G41" s="1"/>
      <c r="H41" s="1"/>
      <c r="I41" s="1"/>
      <c r="J41" s="1"/>
    </row>
    <row r="42" spans="2:10" s="8" customFormat="1" x14ac:dyDescent="0.25">
      <c r="B42" s="1"/>
      <c r="C42" s="1"/>
      <c r="D42" s="1"/>
      <c r="E42" s="2"/>
      <c r="F42" s="3"/>
      <c r="G42" s="1"/>
      <c r="H42" s="1"/>
      <c r="I42" s="1"/>
      <c r="J42" s="1"/>
    </row>
    <row r="43" spans="2:10" s="8" customFormat="1" x14ac:dyDescent="0.25">
      <c r="B43" s="1"/>
      <c r="C43" s="1"/>
      <c r="D43" s="1"/>
      <c r="E43" s="2"/>
      <c r="F43" s="3"/>
      <c r="G43" s="1"/>
      <c r="H43" s="1"/>
      <c r="I43" s="1"/>
      <c r="J43" s="1"/>
    </row>
    <row r="44" spans="2:10" s="8" customFormat="1" x14ac:dyDescent="0.25">
      <c r="B44" s="1"/>
      <c r="C44" s="1"/>
      <c r="D44" s="1"/>
      <c r="E44" s="2"/>
      <c r="F44" s="3"/>
      <c r="G44" s="1"/>
      <c r="H44" s="1"/>
      <c r="I44" s="1"/>
      <c r="J44" s="1"/>
    </row>
    <row r="45" spans="2:10" s="8" customFormat="1" x14ac:dyDescent="0.25">
      <c r="B45" s="1"/>
      <c r="C45" s="1"/>
      <c r="D45" s="1"/>
      <c r="E45" s="2"/>
      <c r="F45" s="3"/>
      <c r="G45" s="1"/>
      <c r="H45" s="1"/>
      <c r="I45" s="1"/>
      <c r="J45" s="1"/>
    </row>
    <row r="46" spans="2:10" s="8" customFormat="1" x14ac:dyDescent="0.25">
      <c r="B46" s="1"/>
      <c r="C46" s="1"/>
      <c r="D46" s="1"/>
      <c r="E46" s="2"/>
      <c r="F46" s="3"/>
      <c r="G46" s="1"/>
      <c r="H46" s="1"/>
      <c r="I46" s="1"/>
      <c r="J46" s="1"/>
    </row>
    <row r="47" spans="2:10" s="8" customFormat="1" x14ac:dyDescent="0.25">
      <c r="B47" s="1"/>
      <c r="C47" s="1"/>
      <c r="D47" s="1"/>
      <c r="E47" s="2"/>
      <c r="F47" s="3"/>
      <c r="G47" s="1"/>
      <c r="H47" s="1"/>
      <c r="I47" s="1"/>
      <c r="J47" s="1"/>
    </row>
    <row r="48" spans="2:10" s="8" customFormat="1" x14ac:dyDescent="0.25">
      <c r="B48" s="1"/>
      <c r="C48" s="1"/>
      <c r="D48" s="1"/>
      <c r="E48" s="2"/>
      <c r="F48" s="3"/>
      <c r="G48" s="1"/>
      <c r="H48" s="1"/>
      <c r="I48" s="1"/>
      <c r="J48" s="1"/>
    </row>
    <row r="49" spans="2:10" s="8" customFormat="1" x14ac:dyDescent="0.25">
      <c r="B49" s="1"/>
      <c r="C49" s="1"/>
      <c r="D49" s="1"/>
      <c r="E49" s="2"/>
      <c r="F49" s="3"/>
      <c r="G49" s="1"/>
      <c r="H49" s="1"/>
      <c r="I49" s="1"/>
      <c r="J49" s="1"/>
    </row>
    <row r="50" spans="2:10" s="8" customFormat="1" x14ac:dyDescent="0.25">
      <c r="B50" s="1"/>
      <c r="C50" s="1"/>
      <c r="D50" s="1"/>
      <c r="E50" s="2"/>
      <c r="F50" s="3"/>
      <c r="G50" s="1"/>
      <c r="H50" s="1"/>
      <c r="I50" s="1"/>
      <c r="J50" s="1"/>
    </row>
    <row r="51" spans="2:10" s="8" customFormat="1" x14ac:dyDescent="0.25">
      <c r="B51" s="1"/>
      <c r="C51" s="1"/>
      <c r="D51" s="1"/>
      <c r="E51" s="2"/>
      <c r="F51" s="3"/>
      <c r="G51" s="1"/>
      <c r="H51" s="1"/>
      <c r="I51" s="1"/>
      <c r="J51" s="1"/>
    </row>
    <row r="52" spans="2:10" s="8" customFormat="1" x14ac:dyDescent="0.25">
      <c r="B52" s="1"/>
      <c r="C52" s="1"/>
      <c r="D52" s="1"/>
      <c r="E52" s="2"/>
      <c r="F52" s="3"/>
      <c r="G52" s="1"/>
      <c r="H52" s="1"/>
      <c r="I52" s="1"/>
      <c r="J52" s="1"/>
    </row>
    <row r="53" spans="2:10" s="8" customFormat="1" x14ac:dyDescent="0.25">
      <c r="B53" s="1"/>
      <c r="C53" s="1"/>
      <c r="D53" s="1"/>
      <c r="E53" s="2"/>
      <c r="F53" s="3"/>
      <c r="G53" s="1"/>
      <c r="H53" s="1"/>
      <c r="I53" s="1"/>
      <c r="J53" s="1"/>
    </row>
    <row r="54" spans="2:10" s="8" customFormat="1" x14ac:dyDescent="0.25">
      <c r="B54" s="1"/>
      <c r="C54" s="1"/>
      <c r="D54" s="1"/>
      <c r="E54" s="2"/>
      <c r="F54" s="3"/>
      <c r="G54" s="1"/>
      <c r="H54" s="1"/>
      <c r="I54" s="1"/>
      <c r="J54" s="1"/>
    </row>
    <row r="55" spans="2:10" s="8" customFormat="1" x14ac:dyDescent="0.25">
      <c r="B55" s="1"/>
      <c r="C55" s="1"/>
      <c r="D55" s="1"/>
      <c r="E55" s="2"/>
      <c r="F55" s="3"/>
      <c r="G55" s="1"/>
      <c r="H55" s="1"/>
      <c r="I55" s="1"/>
      <c r="J55" s="1"/>
    </row>
    <row r="56" spans="2:10" s="8" customFormat="1" x14ac:dyDescent="0.25">
      <c r="B56" s="1"/>
      <c r="C56" s="1"/>
      <c r="D56" s="1"/>
      <c r="E56" s="2"/>
      <c r="F56" s="3"/>
      <c r="G56" s="1"/>
      <c r="H56" s="1"/>
      <c r="I56" s="1"/>
      <c r="J56" s="1"/>
    </row>
    <row r="57" spans="2:10" s="8" customFormat="1" x14ac:dyDescent="0.25">
      <c r="B57" s="1"/>
      <c r="C57" s="1"/>
      <c r="D57" s="1"/>
      <c r="E57" s="2"/>
      <c r="F57" s="3"/>
      <c r="G57" s="1"/>
      <c r="H57" s="1"/>
      <c r="I57" s="1"/>
      <c r="J57" s="1"/>
    </row>
    <row r="58" spans="2:10" s="8" customFormat="1" x14ac:dyDescent="0.25">
      <c r="B58" s="1"/>
      <c r="C58" s="1"/>
      <c r="D58" s="1"/>
      <c r="E58" s="2"/>
      <c r="F58" s="3"/>
      <c r="G58" s="1"/>
      <c r="H58" s="1"/>
      <c r="I58" s="1"/>
      <c r="J58" s="1"/>
    </row>
    <row r="59" spans="2:10" s="8" customFormat="1" x14ac:dyDescent="0.25">
      <c r="B59" s="1"/>
      <c r="C59" s="1"/>
      <c r="D59" s="1"/>
      <c r="E59" s="2"/>
      <c r="F59" s="3"/>
      <c r="G59" s="1"/>
      <c r="H59" s="1"/>
      <c r="I59" s="1"/>
      <c r="J59" s="1"/>
    </row>
    <row r="60" spans="2:10" s="8" customFormat="1" x14ac:dyDescent="0.25">
      <c r="B60" s="1"/>
      <c r="C60" s="1"/>
      <c r="D60" s="1"/>
      <c r="E60" s="2"/>
      <c r="F60" s="3"/>
      <c r="G60" s="1"/>
      <c r="H60" s="1"/>
      <c r="I60" s="1"/>
      <c r="J60" s="1"/>
    </row>
    <row r="61" spans="2:10" s="8" customFormat="1" x14ac:dyDescent="0.25">
      <c r="B61" s="1"/>
      <c r="C61" s="1"/>
      <c r="D61" s="1"/>
      <c r="E61" s="2"/>
      <c r="F61" s="3"/>
      <c r="G61" s="1"/>
      <c r="H61" s="1"/>
      <c r="I61" s="1"/>
      <c r="J61" s="1"/>
    </row>
    <row r="62" spans="2:10" s="8" customFormat="1" x14ac:dyDescent="0.25">
      <c r="B62" s="1"/>
      <c r="C62" s="1"/>
      <c r="D62" s="1"/>
      <c r="E62" s="2"/>
      <c r="F62" s="3"/>
      <c r="G62" s="1"/>
      <c r="H62" s="1"/>
      <c r="I62" s="1"/>
      <c r="J62" s="1"/>
    </row>
    <row r="63" spans="2:10" s="8" customFormat="1" x14ac:dyDescent="0.25">
      <c r="B63" s="1"/>
      <c r="C63" s="1"/>
      <c r="D63" s="1"/>
      <c r="E63" s="2"/>
      <c r="F63" s="3"/>
      <c r="G63" s="1"/>
      <c r="H63" s="1"/>
      <c r="I63" s="1"/>
      <c r="J63" s="1"/>
    </row>
    <row r="64" spans="2:10" s="8" customFormat="1" x14ac:dyDescent="0.25">
      <c r="B64" s="1"/>
      <c r="C64" s="1"/>
      <c r="D64" s="1"/>
      <c r="E64" s="2"/>
      <c r="F64" s="3"/>
      <c r="G64" s="1"/>
      <c r="H64" s="1"/>
      <c r="I64" s="1"/>
      <c r="J64" s="1"/>
    </row>
    <row r="65" spans="2:10" s="8" customFormat="1" x14ac:dyDescent="0.25">
      <c r="B65" s="1"/>
      <c r="C65" s="1"/>
      <c r="D65" s="1"/>
      <c r="E65" s="2"/>
      <c r="F65" s="3"/>
      <c r="G65" s="1"/>
      <c r="H65" s="1"/>
      <c r="I65" s="1"/>
      <c r="J65" s="1"/>
    </row>
    <row r="66" spans="2:10" s="8" customFormat="1" x14ac:dyDescent="0.25">
      <c r="B66" s="1"/>
      <c r="C66" s="1"/>
      <c r="D66" s="1"/>
      <c r="E66" s="2"/>
      <c r="F66" s="3"/>
      <c r="G66" s="1"/>
      <c r="H66" s="1"/>
      <c r="I66" s="1"/>
      <c r="J66" s="1"/>
    </row>
    <row r="67" spans="2:10" s="8" customFormat="1" x14ac:dyDescent="0.25">
      <c r="B67" s="1"/>
      <c r="C67" s="1"/>
      <c r="D67" s="1"/>
      <c r="E67" s="2"/>
      <c r="F67" s="3"/>
      <c r="G67" s="1"/>
      <c r="H67" s="1"/>
      <c r="I67" s="1"/>
      <c r="J67" s="1"/>
    </row>
    <row r="68" spans="2:10" s="8" customFormat="1" x14ac:dyDescent="0.25">
      <c r="B68" s="1"/>
      <c r="C68" s="1"/>
      <c r="D68" s="1"/>
      <c r="E68" s="2"/>
      <c r="F68" s="3"/>
      <c r="G68" s="1"/>
      <c r="H68" s="1"/>
      <c r="I68" s="1"/>
      <c r="J68" s="1"/>
    </row>
    <row r="69" spans="2:10" s="8" customFormat="1" x14ac:dyDescent="0.25">
      <c r="B69" s="1"/>
      <c r="C69" s="1"/>
      <c r="D69" s="1"/>
      <c r="E69" s="2"/>
      <c r="F69" s="3"/>
      <c r="G69" s="1"/>
      <c r="H69" s="1"/>
      <c r="I69" s="1"/>
      <c r="J69" s="1"/>
    </row>
    <row r="70" spans="2:10" s="8" customFormat="1" x14ac:dyDescent="0.25">
      <c r="B70" s="1"/>
      <c r="C70" s="1"/>
      <c r="D70" s="1"/>
      <c r="E70" s="2"/>
      <c r="F70" s="3"/>
      <c r="G70" s="1"/>
      <c r="H70" s="1"/>
      <c r="I70" s="1"/>
      <c r="J70" s="1"/>
    </row>
    <row r="71" spans="2:10" s="8" customFormat="1" x14ac:dyDescent="0.25">
      <c r="B71" s="1"/>
      <c r="C71" s="1"/>
      <c r="D71" s="1"/>
      <c r="E71" s="2"/>
      <c r="F71" s="3"/>
      <c r="G71" s="1"/>
      <c r="H71" s="1"/>
      <c r="I71" s="1"/>
      <c r="J71" s="1"/>
    </row>
    <row r="72" spans="2:10" s="8" customFormat="1" x14ac:dyDescent="0.25">
      <c r="B72" s="1"/>
      <c r="C72" s="1"/>
      <c r="D72" s="1"/>
      <c r="E72" s="2"/>
      <c r="F72" s="3"/>
      <c r="G72" s="1"/>
      <c r="H72" s="1"/>
      <c r="I72" s="1"/>
      <c r="J72" s="1"/>
    </row>
    <row r="73" spans="2:10" s="8" customFormat="1" x14ac:dyDescent="0.25">
      <c r="B73" s="1"/>
      <c r="C73" s="1"/>
      <c r="D73" s="1"/>
      <c r="E73" s="2"/>
      <c r="F73" s="3"/>
      <c r="G73" s="1"/>
      <c r="H73" s="1"/>
      <c r="I73" s="1"/>
      <c r="J73" s="1"/>
    </row>
    <row r="74" spans="2:10" s="8" customFormat="1" x14ac:dyDescent="0.25">
      <c r="B74" s="1"/>
      <c r="C74" s="1"/>
      <c r="D74" s="1"/>
      <c r="E74" s="2"/>
      <c r="F74" s="3"/>
      <c r="G74" s="1"/>
      <c r="H74" s="1"/>
      <c r="I74" s="1"/>
      <c r="J74" s="1"/>
    </row>
    <row r="75" spans="2:10" s="8" customFormat="1" x14ac:dyDescent="0.25">
      <c r="B75" s="1"/>
      <c r="C75" s="1"/>
      <c r="D75" s="1"/>
      <c r="E75" s="2"/>
      <c r="F75" s="3"/>
      <c r="G75" s="1"/>
      <c r="H75" s="1"/>
      <c r="I75" s="1"/>
      <c r="J75" s="1"/>
    </row>
    <row r="76" spans="2:10" s="8" customFormat="1" x14ac:dyDescent="0.25">
      <c r="B76" s="1"/>
      <c r="C76" s="1"/>
      <c r="D76" s="1"/>
      <c r="E76" s="2"/>
      <c r="F76" s="3"/>
      <c r="G76" s="1"/>
      <c r="H76" s="1"/>
      <c r="I76" s="1"/>
      <c r="J76" s="1"/>
    </row>
    <row r="77" spans="2:10" s="8" customFormat="1" x14ac:dyDescent="0.25">
      <c r="B77" s="1"/>
      <c r="C77" s="1"/>
      <c r="D77" s="1"/>
      <c r="E77" s="2"/>
      <c r="F77" s="3"/>
      <c r="G77" s="1"/>
      <c r="H77" s="1"/>
      <c r="I77" s="1"/>
      <c r="J77" s="1"/>
    </row>
    <row r="78" spans="2:10" s="8" customFormat="1" x14ac:dyDescent="0.25">
      <c r="B78" s="1"/>
      <c r="C78" s="1"/>
      <c r="D78" s="1"/>
      <c r="E78" s="2"/>
      <c r="F78" s="3"/>
      <c r="G78" s="1"/>
      <c r="H78" s="1"/>
      <c r="I78" s="1"/>
      <c r="J78" s="1"/>
    </row>
    <row r="79" spans="2:10" s="8" customFormat="1" x14ac:dyDescent="0.25">
      <c r="B79" s="1"/>
      <c r="C79" s="1"/>
      <c r="D79" s="1"/>
      <c r="E79" s="2"/>
      <c r="F79" s="3"/>
      <c r="G79" s="1"/>
      <c r="H79" s="1"/>
      <c r="I79" s="1"/>
      <c r="J79" s="1"/>
    </row>
    <row r="80" spans="2:10" s="8" customFormat="1" x14ac:dyDescent="0.25">
      <c r="B80" s="1"/>
      <c r="C80" s="1"/>
      <c r="D80" s="1"/>
      <c r="E80" s="2"/>
      <c r="F80" s="3"/>
      <c r="G80" s="1"/>
      <c r="H80" s="1"/>
      <c r="I80" s="1"/>
      <c r="J80" s="1"/>
    </row>
    <row r="81" spans="2:10" s="8" customFormat="1" x14ac:dyDescent="0.25">
      <c r="B81" s="1"/>
      <c r="C81" s="1"/>
      <c r="D81" s="1"/>
      <c r="E81" s="2"/>
      <c r="F81" s="3"/>
      <c r="G81" s="1"/>
      <c r="H81" s="1"/>
      <c r="I81" s="1"/>
      <c r="J81" s="1"/>
    </row>
    <row r="82" spans="2:10" s="8" customFormat="1" x14ac:dyDescent="0.25">
      <c r="B82" s="1"/>
      <c r="C82" s="1"/>
      <c r="D82" s="1"/>
      <c r="E82" s="2"/>
      <c r="F82" s="3"/>
      <c r="G82" s="1"/>
      <c r="H82" s="1"/>
      <c r="I82" s="1"/>
      <c r="J82" s="1"/>
    </row>
    <row r="83" spans="2:10" s="8" customFormat="1" x14ac:dyDescent="0.25">
      <c r="B83" s="1"/>
      <c r="C83" s="1"/>
      <c r="D83" s="1"/>
      <c r="E83" s="2"/>
      <c r="F83" s="3"/>
      <c r="G83" s="1"/>
      <c r="H83" s="1"/>
      <c r="I83" s="1"/>
      <c r="J83" s="1"/>
    </row>
    <row r="84" spans="2:10" s="8" customFormat="1" x14ac:dyDescent="0.25">
      <c r="B84" s="1"/>
      <c r="C84" s="1"/>
      <c r="D84" s="1"/>
      <c r="E84" s="2"/>
      <c r="F84" s="3"/>
      <c r="G84" s="1"/>
      <c r="H84" s="1"/>
      <c r="I84" s="1"/>
      <c r="J84" s="1"/>
    </row>
    <row r="85" spans="2:10" s="8" customFormat="1" x14ac:dyDescent="0.25">
      <c r="B85" s="1"/>
      <c r="C85" s="1"/>
      <c r="D85" s="1"/>
      <c r="E85" s="2"/>
      <c r="F85" s="3"/>
      <c r="G85" s="1"/>
      <c r="H85" s="1"/>
      <c r="I85" s="1"/>
      <c r="J85" s="1"/>
    </row>
    <row r="86" spans="2:10" s="8" customFormat="1" x14ac:dyDescent="0.25">
      <c r="B86" s="1"/>
      <c r="C86" s="1"/>
      <c r="D86" s="1"/>
      <c r="E86" s="2"/>
      <c r="F86" s="3"/>
      <c r="G86" s="1"/>
      <c r="H86" s="1"/>
      <c r="I86" s="1"/>
      <c r="J86" s="1"/>
    </row>
    <row r="87" spans="2:10" s="8" customFormat="1" x14ac:dyDescent="0.25">
      <c r="B87" s="1"/>
      <c r="C87" s="1"/>
      <c r="D87" s="1"/>
      <c r="E87" s="2"/>
      <c r="F87" s="3"/>
      <c r="G87" s="1"/>
      <c r="H87" s="1"/>
      <c r="I87" s="1"/>
      <c r="J87" s="1"/>
    </row>
    <row r="88" spans="2:10" s="8" customFormat="1" x14ac:dyDescent="0.25">
      <c r="B88" s="1"/>
      <c r="C88" s="1"/>
      <c r="D88" s="1"/>
      <c r="E88" s="2"/>
      <c r="F88" s="3"/>
      <c r="G88" s="1"/>
      <c r="H88" s="1"/>
      <c r="I88" s="1"/>
      <c r="J88" s="1"/>
    </row>
    <row r="89" spans="2:10" s="8" customFormat="1" x14ac:dyDescent="0.25">
      <c r="B89" s="1"/>
      <c r="C89" s="1"/>
      <c r="D89" s="1"/>
      <c r="E89" s="2"/>
      <c r="F89" s="3"/>
      <c r="G89" s="1"/>
      <c r="H89" s="1"/>
      <c r="I89" s="1"/>
      <c r="J89" s="1"/>
    </row>
    <row r="90" spans="2:10" s="8" customFormat="1" x14ac:dyDescent="0.25">
      <c r="B90" s="1"/>
      <c r="C90" s="1"/>
      <c r="D90" s="1"/>
      <c r="E90" s="2"/>
      <c r="F90" s="3"/>
      <c r="G90" s="1"/>
      <c r="H90" s="1"/>
      <c r="I90" s="1"/>
      <c r="J90" s="1"/>
    </row>
    <row r="91" spans="2:10" s="8" customFormat="1" x14ac:dyDescent="0.25">
      <c r="B91" s="1"/>
      <c r="C91" s="1"/>
      <c r="D91" s="1"/>
      <c r="E91" s="2"/>
      <c r="F91" s="3"/>
      <c r="G91" s="1"/>
      <c r="H91" s="1"/>
      <c r="I91" s="1"/>
      <c r="J91" s="1"/>
    </row>
    <row r="92" spans="2:10" s="8" customFormat="1" x14ac:dyDescent="0.25">
      <c r="B92" s="1"/>
      <c r="C92" s="1"/>
      <c r="D92" s="1"/>
      <c r="E92" s="2"/>
      <c r="F92" s="3"/>
      <c r="G92" s="1"/>
      <c r="H92" s="1"/>
      <c r="I92" s="1"/>
      <c r="J92" s="1"/>
    </row>
    <row r="93" spans="2:10" s="8" customFormat="1" x14ac:dyDescent="0.25">
      <c r="B93" s="1"/>
      <c r="C93" s="1"/>
      <c r="D93" s="1"/>
      <c r="E93" s="2"/>
      <c r="F93" s="3"/>
      <c r="G93" s="1"/>
      <c r="H93" s="1"/>
      <c r="I93" s="1"/>
      <c r="J93" s="1"/>
    </row>
    <row r="94" spans="2:10" s="8" customFormat="1" x14ac:dyDescent="0.25">
      <c r="B94" s="1"/>
      <c r="C94" s="1"/>
      <c r="D94" s="1"/>
      <c r="E94" s="2"/>
      <c r="F94" s="3"/>
      <c r="G94" s="1"/>
      <c r="H94" s="1"/>
      <c r="I94" s="1"/>
      <c r="J94" s="1"/>
    </row>
    <row r="95" spans="2:10" s="8" customFormat="1" x14ac:dyDescent="0.25">
      <c r="B95" s="1"/>
      <c r="C95" s="1"/>
      <c r="D95" s="1"/>
      <c r="E95" s="2"/>
      <c r="F95" s="3"/>
      <c r="G95" s="1"/>
      <c r="H95" s="1"/>
      <c r="I95" s="1"/>
      <c r="J95" s="1"/>
    </row>
    <row r="96" spans="2:10" s="8" customFormat="1" x14ac:dyDescent="0.25">
      <c r="B96" s="1"/>
      <c r="C96" s="1"/>
      <c r="D96" s="1"/>
      <c r="E96" s="2"/>
      <c r="F96" s="3"/>
      <c r="G96" s="1"/>
      <c r="H96" s="1"/>
      <c r="I96" s="1"/>
      <c r="J96" s="1"/>
    </row>
    <row r="97" spans="2:10" s="8" customFormat="1" x14ac:dyDescent="0.25">
      <c r="B97" s="1"/>
      <c r="C97" s="1"/>
      <c r="D97" s="1"/>
      <c r="E97" s="2"/>
      <c r="F97" s="3"/>
      <c r="G97" s="1"/>
      <c r="H97" s="1"/>
      <c r="I97" s="1"/>
      <c r="J97" s="1"/>
    </row>
    <row r="98" spans="2:10" s="8" customFormat="1" x14ac:dyDescent="0.25">
      <c r="B98" s="1"/>
      <c r="C98" s="1"/>
      <c r="D98" s="1"/>
      <c r="E98" s="2"/>
      <c r="F98" s="3"/>
      <c r="G98" s="1"/>
      <c r="H98" s="1"/>
      <c r="I98" s="1"/>
      <c r="J98" s="1"/>
    </row>
    <row r="99" spans="2:10" s="8" customFormat="1" x14ac:dyDescent="0.25">
      <c r="B99" s="1"/>
      <c r="C99" s="1"/>
      <c r="D99" s="1"/>
      <c r="E99" s="2"/>
      <c r="F99" s="3"/>
      <c r="G99" s="1"/>
      <c r="H99" s="1"/>
      <c r="I99" s="1"/>
      <c r="J99" s="1"/>
    </row>
    <row r="100" spans="2:10" s="8" customFormat="1" x14ac:dyDescent="0.25">
      <c r="B100" s="1"/>
      <c r="C100" s="1"/>
      <c r="D100" s="1"/>
      <c r="E100" s="2"/>
      <c r="F100" s="3"/>
      <c r="G100" s="1"/>
      <c r="H100" s="1"/>
      <c r="I100" s="1"/>
      <c r="J100" s="1"/>
    </row>
    <row r="101" spans="2:10" s="8" customFormat="1" x14ac:dyDescent="0.25">
      <c r="B101" s="1"/>
      <c r="C101" s="1"/>
      <c r="D101" s="1"/>
      <c r="E101" s="2"/>
      <c r="F101" s="3"/>
      <c r="G101" s="1"/>
      <c r="H101" s="1"/>
      <c r="I101" s="1"/>
      <c r="J101" s="1"/>
    </row>
    <row r="102" spans="2:10" s="8" customFormat="1" x14ac:dyDescent="0.25">
      <c r="B102" s="1"/>
      <c r="C102" s="1"/>
      <c r="D102" s="1"/>
      <c r="E102" s="2"/>
      <c r="F102" s="3"/>
      <c r="G102" s="1"/>
      <c r="H102" s="1"/>
      <c r="I102" s="1"/>
      <c r="J102" s="1"/>
    </row>
    <row r="103" spans="2:10" s="8" customFormat="1" x14ac:dyDescent="0.25">
      <c r="B103" s="1"/>
      <c r="C103" s="1"/>
      <c r="D103" s="1"/>
      <c r="E103" s="2"/>
      <c r="F103" s="3"/>
      <c r="G103" s="1"/>
      <c r="H103" s="1"/>
      <c r="I103" s="1"/>
      <c r="J103" s="1"/>
    </row>
    <row r="104" spans="2:10" s="8" customFormat="1" x14ac:dyDescent="0.25">
      <c r="B104" s="1"/>
      <c r="C104" s="1"/>
      <c r="D104" s="1"/>
      <c r="E104" s="2"/>
      <c r="F104" s="3"/>
      <c r="G104" s="1"/>
      <c r="H104" s="1"/>
      <c r="I104" s="1"/>
      <c r="J104" s="1"/>
    </row>
    <row r="105" spans="2:10" s="8" customFormat="1" x14ac:dyDescent="0.25">
      <c r="B105" s="1"/>
      <c r="C105" s="1"/>
      <c r="D105" s="1"/>
      <c r="E105" s="2"/>
      <c r="F105" s="3"/>
      <c r="G105" s="1"/>
      <c r="H105" s="1"/>
      <c r="I105" s="1"/>
      <c r="J105" s="1"/>
    </row>
    <row r="106" spans="2:10" s="8" customFormat="1" x14ac:dyDescent="0.25">
      <c r="B106" s="1"/>
      <c r="C106" s="1"/>
      <c r="D106" s="1"/>
      <c r="E106" s="2"/>
      <c r="F106" s="3"/>
      <c r="G106" s="1"/>
      <c r="H106" s="1"/>
      <c r="I106" s="1"/>
      <c r="J106" s="1"/>
    </row>
    <row r="107" spans="2:10" s="8" customFormat="1" x14ac:dyDescent="0.25">
      <c r="B107" s="1"/>
      <c r="C107" s="1"/>
      <c r="D107" s="1"/>
      <c r="E107" s="2"/>
      <c r="F107" s="3"/>
      <c r="G107" s="1"/>
      <c r="H107" s="1"/>
      <c r="I107" s="1"/>
      <c r="J107" s="1"/>
    </row>
    <row r="108" spans="2:10" s="8" customFormat="1" x14ac:dyDescent="0.25">
      <c r="B108" s="1"/>
      <c r="C108" s="1"/>
      <c r="D108" s="1"/>
      <c r="E108" s="2"/>
      <c r="F108" s="3"/>
      <c r="G108" s="1"/>
      <c r="H108" s="1"/>
      <c r="I108" s="1"/>
      <c r="J108" s="1"/>
    </row>
    <row r="109" spans="2:10" s="8" customFormat="1" x14ac:dyDescent="0.25">
      <c r="B109" s="1"/>
      <c r="C109" s="1"/>
      <c r="D109" s="1"/>
      <c r="E109" s="2"/>
      <c r="F109" s="3"/>
      <c r="G109" s="1"/>
      <c r="H109" s="1"/>
      <c r="I109" s="1"/>
      <c r="J109" s="1"/>
    </row>
    <row r="110" spans="2:10" s="8" customFormat="1" x14ac:dyDescent="0.25">
      <c r="B110" s="1"/>
      <c r="C110" s="1"/>
      <c r="D110" s="1"/>
      <c r="E110" s="2"/>
      <c r="F110" s="3"/>
      <c r="G110" s="1"/>
      <c r="H110" s="1"/>
      <c r="I110" s="1"/>
      <c r="J110" s="1"/>
    </row>
    <row r="111" spans="2:10" s="8" customFormat="1" x14ac:dyDescent="0.25">
      <c r="B111" s="1"/>
      <c r="C111" s="1"/>
      <c r="D111" s="1"/>
      <c r="E111" s="2"/>
      <c r="F111" s="3"/>
      <c r="G111" s="1"/>
      <c r="H111" s="1"/>
      <c r="I111" s="1"/>
      <c r="J111" s="1"/>
    </row>
    <row r="112" spans="2:10" s="8" customFormat="1" x14ac:dyDescent="0.25">
      <c r="B112" s="1"/>
      <c r="C112" s="1"/>
      <c r="D112" s="1"/>
      <c r="E112" s="2"/>
      <c r="F112" s="3"/>
      <c r="G112" s="1"/>
      <c r="H112" s="1"/>
      <c r="I112" s="1"/>
      <c r="J112" s="1"/>
    </row>
    <row r="113" spans="2:10" s="8" customFormat="1" x14ac:dyDescent="0.25">
      <c r="B113" s="1"/>
      <c r="C113" s="1"/>
      <c r="D113" s="1"/>
      <c r="E113" s="2"/>
      <c r="F113" s="3"/>
      <c r="G113" s="1"/>
      <c r="H113" s="1"/>
      <c r="I113" s="1"/>
      <c r="J113" s="1"/>
    </row>
    <row r="114" spans="2:10" s="8" customFormat="1" x14ac:dyDescent="0.25">
      <c r="B114" s="1"/>
      <c r="C114" s="1"/>
      <c r="D114" s="1"/>
      <c r="E114" s="2"/>
      <c r="F114" s="3"/>
      <c r="G114" s="1"/>
      <c r="H114" s="1"/>
      <c r="I114" s="1"/>
      <c r="J114" s="1"/>
    </row>
    <row r="115" spans="2:10" s="8" customFormat="1" x14ac:dyDescent="0.25">
      <c r="B115" s="1"/>
      <c r="C115" s="1"/>
      <c r="D115" s="1"/>
      <c r="E115" s="2"/>
      <c r="F115" s="3"/>
      <c r="G115" s="1"/>
      <c r="H115" s="1"/>
      <c r="I115" s="1"/>
      <c r="J115" s="1"/>
    </row>
    <row r="116" spans="2:10" s="8" customFormat="1" x14ac:dyDescent="0.25">
      <c r="B116" s="1"/>
      <c r="C116" s="1"/>
      <c r="D116" s="1"/>
      <c r="E116" s="2"/>
      <c r="F116" s="3"/>
      <c r="G116" s="1"/>
      <c r="H116" s="1"/>
      <c r="I116" s="1"/>
      <c r="J116" s="1"/>
    </row>
    <row r="117" spans="2:10" s="8" customFormat="1" x14ac:dyDescent="0.25">
      <c r="B117" s="1"/>
      <c r="C117" s="1"/>
      <c r="D117" s="1"/>
      <c r="E117" s="2"/>
      <c r="F117" s="3"/>
      <c r="G117" s="1"/>
      <c r="H117" s="1"/>
      <c r="I117" s="1"/>
      <c r="J117" s="1"/>
    </row>
    <row r="118" spans="2:10" s="8" customFormat="1" x14ac:dyDescent="0.25">
      <c r="B118" s="1"/>
      <c r="C118" s="1"/>
      <c r="D118" s="1"/>
      <c r="E118" s="2"/>
      <c r="F118" s="3"/>
      <c r="G118" s="1"/>
      <c r="H118" s="1"/>
      <c r="I118" s="1"/>
      <c r="J118" s="1"/>
    </row>
    <row r="119" spans="2:10" s="8" customFormat="1" x14ac:dyDescent="0.25">
      <c r="B119" s="1"/>
      <c r="C119" s="1"/>
      <c r="D119" s="1"/>
      <c r="E119" s="2"/>
      <c r="F119" s="3"/>
      <c r="G119" s="1"/>
      <c r="H119" s="1"/>
      <c r="I119" s="1"/>
      <c r="J119" s="1"/>
    </row>
    <row r="120" spans="2:10" s="8" customFormat="1" x14ac:dyDescent="0.25">
      <c r="B120" s="1"/>
      <c r="C120" s="1"/>
      <c r="D120" s="1"/>
      <c r="E120" s="2"/>
      <c r="F120" s="3"/>
      <c r="G120" s="1"/>
      <c r="H120" s="1"/>
      <c r="I120" s="1"/>
      <c r="J120" s="1"/>
    </row>
    <row r="121" spans="2:10" s="8" customFormat="1" x14ac:dyDescent="0.25">
      <c r="B121" s="1"/>
      <c r="C121" s="1"/>
      <c r="D121" s="1"/>
      <c r="E121" s="2"/>
      <c r="F121" s="3"/>
      <c r="G121" s="1"/>
      <c r="H121" s="1"/>
      <c r="I121" s="1"/>
      <c r="J121" s="1"/>
    </row>
    <row r="122" spans="2:10" s="8" customFormat="1" x14ac:dyDescent="0.25">
      <c r="B122" s="1"/>
      <c r="C122" s="1"/>
      <c r="D122" s="1"/>
      <c r="E122" s="2"/>
      <c r="F122" s="3"/>
      <c r="G122" s="1"/>
      <c r="H122" s="1"/>
      <c r="I122" s="1"/>
      <c r="J122" s="1"/>
    </row>
    <row r="123" spans="2:10" s="8" customFormat="1" x14ac:dyDescent="0.25">
      <c r="B123" s="1"/>
      <c r="C123" s="1"/>
      <c r="D123" s="1"/>
      <c r="E123" s="2"/>
      <c r="F123" s="3"/>
      <c r="G123" s="1"/>
      <c r="H123" s="1"/>
      <c r="I123" s="1"/>
      <c r="J123" s="1"/>
    </row>
    <row r="124" spans="2:10" s="8" customFormat="1" x14ac:dyDescent="0.25">
      <c r="B124" s="1"/>
      <c r="C124" s="1"/>
      <c r="D124" s="1"/>
      <c r="E124" s="2"/>
      <c r="F124" s="3"/>
      <c r="G124" s="1"/>
      <c r="H124" s="1"/>
      <c r="I124" s="1"/>
      <c r="J124" s="1"/>
    </row>
    <row r="125" spans="2:10" s="8" customFormat="1" x14ac:dyDescent="0.25">
      <c r="B125" s="1"/>
      <c r="C125" s="1"/>
      <c r="D125" s="1"/>
      <c r="E125" s="2"/>
      <c r="F125" s="3"/>
      <c r="G125" s="1"/>
      <c r="H125" s="1"/>
      <c r="I125" s="1"/>
      <c r="J125" s="1"/>
    </row>
    <row r="126" spans="2:10" s="8" customFormat="1" x14ac:dyDescent="0.25">
      <c r="B126" s="1"/>
      <c r="C126" s="1"/>
      <c r="D126" s="1"/>
      <c r="E126" s="2"/>
      <c r="F126" s="3"/>
      <c r="G126" s="1"/>
      <c r="H126" s="1"/>
      <c r="I126" s="1"/>
      <c r="J126" s="1"/>
    </row>
    <row r="127" spans="2:10" s="8" customFormat="1" x14ac:dyDescent="0.25">
      <c r="B127" s="1"/>
      <c r="C127" s="1"/>
      <c r="D127" s="1"/>
      <c r="E127" s="2"/>
      <c r="F127" s="3"/>
      <c r="G127" s="1"/>
      <c r="H127" s="1"/>
      <c r="I127" s="1"/>
      <c r="J127" s="1"/>
    </row>
    <row r="128" spans="2:10" s="8" customFormat="1" x14ac:dyDescent="0.25">
      <c r="B128" s="1"/>
      <c r="C128" s="1"/>
      <c r="D128" s="1"/>
      <c r="E128" s="2"/>
      <c r="F128" s="3"/>
      <c r="G128" s="1"/>
      <c r="H128" s="1"/>
      <c r="I128" s="1"/>
      <c r="J128" s="1"/>
    </row>
    <row r="129" spans="2:19" s="8" customFormat="1" x14ac:dyDescent="0.25">
      <c r="B129" s="1"/>
      <c r="C129" s="1"/>
      <c r="D129" s="1"/>
      <c r="E129" s="2"/>
      <c r="F129" s="3"/>
      <c r="G129" s="1"/>
      <c r="H129" s="1"/>
      <c r="I129" s="1"/>
      <c r="J129" s="1"/>
    </row>
    <row r="130" spans="2:19" s="8" customFormat="1" x14ac:dyDescent="0.25">
      <c r="B130" s="1"/>
      <c r="C130" s="1"/>
      <c r="D130" s="1"/>
      <c r="E130" s="2"/>
      <c r="F130" s="3"/>
      <c r="G130" s="1"/>
      <c r="H130" s="1"/>
      <c r="I130" s="1"/>
      <c r="J130" s="1"/>
    </row>
    <row r="131" spans="2:19" s="8" customFormat="1" x14ac:dyDescent="0.25">
      <c r="B131" s="1"/>
      <c r="C131" s="1"/>
      <c r="D131" s="1"/>
      <c r="E131" s="2"/>
      <c r="F131" s="3"/>
      <c r="G131" s="1"/>
      <c r="H131" s="1"/>
      <c r="I131" s="1"/>
      <c r="J131" s="1"/>
    </row>
    <row r="132" spans="2:19" s="8" customFormat="1" x14ac:dyDescent="0.25">
      <c r="B132" s="1"/>
      <c r="C132" s="1"/>
      <c r="D132" s="1"/>
      <c r="E132" s="2"/>
      <c r="F132" s="3"/>
      <c r="G132" s="1"/>
      <c r="H132" s="1"/>
      <c r="I132" s="1"/>
      <c r="J132" s="1"/>
    </row>
    <row r="133" spans="2:19" s="8" customFormat="1" x14ac:dyDescent="0.25">
      <c r="B133" s="1"/>
      <c r="C133" s="1"/>
      <c r="D133" s="1"/>
      <c r="E133" s="2"/>
      <c r="F133" s="3"/>
      <c r="G133" s="1"/>
      <c r="H133" s="1"/>
      <c r="I133" s="1"/>
      <c r="J133" s="1"/>
    </row>
    <row r="134" spans="2:19" s="8" customFormat="1" x14ac:dyDescent="0.25">
      <c r="B134" s="1"/>
      <c r="C134" s="1"/>
      <c r="D134" s="1"/>
      <c r="E134" s="2"/>
      <c r="F134" s="3"/>
      <c r="G134" s="1"/>
      <c r="H134" s="1"/>
      <c r="I134" s="1"/>
      <c r="J134" s="1"/>
    </row>
    <row r="135" spans="2:19" s="8" customFormat="1" x14ac:dyDescent="0.25">
      <c r="B135" s="1"/>
      <c r="C135" s="1"/>
      <c r="D135" s="1"/>
      <c r="E135" s="2"/>
      <c r="F135" s="3"/>
      <c r="G135" s="1"/>
      <c r="H135" s="1"/>
      <c r="I135" s="1"/>
      <c r="J135" s="1"/>
      <c r="R135" s="1"/>
      <c r="S135" s="1"/>
    </row>
    <row r="136" spans="2:19" s="8" customFormat="1" x14ac:dyDescent="0.25">
      <c r="B136" s="1"/>
      <c r="C136" s="1"/>
      <c r="D136" s="1"/>
      <c r="E136" s="2"/>
      <c r="F136" s="3"/>
      <c r="G136" s="1"/>
      <c r="H136" s="1"/>
      <c r="I136" s="1"/>
      <c r="J136" s="1"/>
      <c r="L136" s="1"/>
      <c r="M136" s="1"/>
      <c r="N136" s="1"/>
      <c r="O136" s="1"/>
      <c r="P136" s="1"/>
      <c r="Q136" s="1"/>
    </row>
    <row r="137" spans="2:19" s="8" customFormat="1" x14ac:dyDescent="0.25">
      <c r="B137" s="1"/>
      <c r="C137" s="1"/>
      <c r="D137" s="1"/>
      <c r="E137" s="2"/>
      <c r="F137" s="3"/>
      <c r="G137" s="1"/>
      <c r="H137" s="1"/>
      <c r="I137" s="1"/>
      <c r="J137" s="1"/>
      <c r="R137" s="1"/>
      <c r="S137" s="1"/>
    </row>
    <row r="138" spans="2:19" s="8" customFormat="1" x14ac:dyDescent="0.25">
      <c r="B138" s="1"/>
      <c r="C138" s="1"/>
      <c r="D138" s="1"/>
      <c r="E138" s="2"/>
      <c r="F138" s="3"/>
      <c r="G138" s="1"/>
      <c r="H138" s="1"/>
      <c r="I138" s="1"/>
      <c r="J138" s="1"/>
      <c r="L138" s="1"/>
      <c r="M138" s="1"/>
      <c r="N138" s="1"/>
      <c r="O138" s="1"/>
      <c r="P138" s="1"/>
      <c r="Q138" s="1"/>
      <c r="R138" s="1"/>
      <c r="S138" s="1"/>
    </row>
    <row r="139" spans="2:19" s="8" customFormat="1" x14ac:dyDescent="0.25">
      <c r="B139" s="1"/>
      <c r="C139" s="1"/>
      <c r="D139" s="1"/>
      <c r="E139" s="2"/>
      <c r="F139" s="3"/>
      <c r="G139" s="1"/>
      <c r="H139" s="1"/>
      <c r="I139" s="1"/>
      <c r="J139" s="1"/>
      <c r="L139" s="1"/>
      <c r="M139" s="1"/>
      <c r="N139" s="1"/>
      <c r="O139" s="1"/>
      <c r="P139" s="1"/>
      <c r="Q139" s="1"/>
      <c r="R139" s="1"/>
      <c r="S139" s="1"/>
    </row>
    <row r="140" spans="2:19" s="8" customFormat="1" x14ac:dyDescent="0.25">
      <c r="B140" s="1"/>
      <c r="C140" s="1"/>
      <c r="D140" s="1"/>
      <c r="E140" s="2"/>
      <c r="F140" s="3"/>
      <c r="G140" s="1"/>
      <c r="H140" s="1"/>
      <c r="I140" s="1"/>
      <c r="J140" s="1"/>
      <c r="L140" s="1"/>
      <c r="M140" s="1"/>
      <c r="N140" s="1"/>
      <c r="O140" s="1"/>
      <c r="P140" s="1"/>
      <c r="Q140" s="1"/>
      <c r="R140" s="1"/>
      <c r="S140" s="1"/>
    </row>
    <row r="141" spans="2:19" s="8" customFormat="1" x14ac:dyDescent="0.25">
      <c r="B141" s="1"/>
      <c r="C141" s="1"/>
      <c r="D141" s="1"/>
      <c r="E141" s="2"/>
      <c r="F141" s="3"/>
      <c r="G141" s="1"/>
      <c r="H141" s="1"/>
      <c r="I141" s="1"/>
      <c r="J141" s="1"/>
      <c r="L141" s="1"/>
      <c r="M141" s="1"/>
      <c r="N141" s="1"/>
      <c r="O141" s="1"/>
      <c r="P141" s="1"/>
      <c r="Q141" s="1"/>
      <c r="R141" s="1"/>
      <c r="S141" s="1"/>
    </row>
    <row r="143" spans="2:19" s="8" customFormat="1" ht="21.75" customHeight="1" x14ac:dyDescent="0.25">
      <c r="B143" s="1"/>
      <c r="C143" s="1"/>
      <c r="D143" s="1"/>
      <c r="E143" s="2"/>
      <c r="F143" s="3"/>
      <c r="G143" s="1"/>
      <c r="H143" s="1"/>
      <c r="I143" s="1"/>
      <c r="J143" s="1"/>
      <c r="L143" s="1"/>
      <c r="M143" s="1"/>
      <c r="N143" s="1"/>
      <c r="O143" s="1"/>
      <c r="P143" s="1"/>
      <c r="Q143" s="1"/>
      <c r="R143" s="1"/>
      <c r="S143" s="1"/>
    </row>
  </sheetData>
  <mergeCells count="18">
    <mergeCell ref="B7:C7"/>
    <mergeCell ref="D7:J7"/>
    <mergeCell ref="L7:M7"/>
    <mergeCell ref="B5:C5"/>
    <mergeCell ref="D5:J5"/>
    <mergeCell ref="L5:M5"/>
    <mergeCell ref="B6:C6"/>
    <mergeCell ref="B2:J2"/>
    <mergeCell ref="B4:C4"/>
    <mergeCell ref="D4:J4"/>
    <mergeCell ref="L4:M4"/>
    <mergeCell ref="L2:T2"/>
    <mergeCell ref="N4:T4"/>
    <mergeCell ref="D6:J6"/>
    <mergeCell ref="L6:M6"/>
    <mergeCell ref="N5:T5"/>
    <mergeCell ref="N6:T6"/>
    <mergeCell ref="N7:T7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2AE8A5-676C-4C46-856E-BA665245AD76}">
          <x14:formula1>
            <xm:f>#REF!</xm:f>
          </x14:formula1>
          <xm:sqref>C10:C18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B909-6FC6-436C-A4F2-8E5652F0A539}">
  <dimension ref="B1:T159"/>
  <sheetViews>
    <sheetView workbookViewId="0">
      <selection activeCell="L2" sqref="L2:T25"/>
    </sheetView>
  </sheetViews>
  <sheetFormatPr defaultRowHeight="14.25" x14ac:dyDescent="0.25"/>
  <cols>
    <col min="1" max="1" width="5.85546875" style="1" customWidth="1"/>
    <col min="2" max="2" width="13.5703125" style="1" customWidth="1"/>
    <col min="3" max="3" width="22.7109375" style="1" customWidth="1"/>
    <col min="4" max="4" width="51.85546875" style="1" customWidth="1"/>
    <col min="5" max="5" width="5.85546875" style="2" customWidth="1"/>
    <col min="6" max="6" width="8.7109375" style="3" customWidth="1"/>
    <col min="7" max="7" width="10.28515625" style="1" customWidth="1"/>
    <col min="8" max="8" width="11.7109375" style="1" customWidth="1"/>
    <col min="9" max="9" width="9" style="1" customWidth="1"/>
    <col min="10" max="10" width="13.28515625" style="1" customWidth="1"/>
    <col min="11" max="11" width="1.5703125" style="1" customWidth="1"/>
    <col min="12" max="12" width="10.42578125" style="1" bestFit="1" customWidth="1"/>
    <col min="13" max="13" width="31.42578125" style="1" customWidth="1"/>
    <col min="14" max="14" width="12.28515625" style="1" customWidth="1"/>
    <col min="15" max="15" width="9.140625" style="1"/>
    <col min="16" max="16" width="10.7109375" style="1" customWidth="1"/>
    <col min="17" max="17" width="9.5703125" style="1" customWidth="1"/>
    <col min="18" max="215" width="9.140625" style="1"/>
    <col min="216" max="216" width="11.42578125" style="1" customWidth="1"/>
    <col min="217" max="217" width="25.140625" style="1" customWidth="1"/>
    <col min="218" max="218" width="42.7109375" style="1" customWidth="1"/>
    <col min="219" max="219" width="9.28515625" style="1" customWidth="1"/>
    <col min="220" max="220" width="13.85546875" style="1" customWidth="1"/>
    <col min="221" max="221" width="10.42578125" style="1" customWidth="1"/>
    <col min="222" max="222" width="16.7109375" style="1" customWidth="1"/>
    <col min="223" max="223" width="16.28515625" style="1" customWidth="1"/>
    <col min="224" max="224" width="14.42578125" style="1" customWidth="1"/>
    <col min="225" max="225" width="14.85546875" style="1" customWidth="1"/>
    <col min="226" max="226" width="13" style="1" customWidth="1"/>
    <col min="227" max="227" width="18.7109375" style="1" customWidth="1"/>
    <col min="228" max="228" width="6" style="1" customWidth="1"/>
    <col min="229" max="229" width="15.28515625" style="1" customWidth="1"/>
    <col min="230" max="230" width="28" style="1" customWidth="1"/>
    <col min="231" max="231" width="13.5703125" style="1" customWidth="1"/>
    <col min="232" max="232" width="15.5703125" style="1" customWidth="1"/>
    <col min="233" max="233" width="8.85546875" style="1" customWidth="1"/>
    <col min="234" max="234" width="15.28515625" style="1" customWidth="1"/>
    <col min="235" max="235" width="15.7109375" style="1" customWidth="1"/>
    <col min="236" max="238" width="17.140625" style="1" customWidth="1"/>
    <col min="239" max="239" width="35.7109375" style="1" customWidth="1"/>
    <col min="240" max="240" width="28.5703125" style="1" customWidth="1"/>
    <col min="241" max="241" width="17.140625" style="1" customWidth="1"/>
    <col min="242" max="242" width="28.5703125" style="1" customWidth="1"/>
    <col min="243" max="471" width="9.140625" style="1"/>
    <col min="472" max="472" width="11.42578125" style="1" customWidth="1"/>
    <col min="473" max="473" width="25.140625" style="1" customWidth="1"/>
    <col min="474" max="474" width="42.7109375" style="1" customWidth="1"/>
    <col min="475" max="475" width="9.28515625" style="1" customWidth="1"/>
    <col min="476" max="476" width="13.85546875" style="1" customWidth="1"/>
    <col min="477" max="477" width="10.42578125" style="1" customWidth="1"/>
    <col min="478" max="478" width="16.7109375" style="1" customWidth="1"/>
    <col min="479" max="479" width="16.28515625" style="1" customWidth="1"/>
    <col min="480" max="480" width="14.42578125" style="1" customWidth="1"/>
    <col min="481" max="481" width="14.85546875" style="1" customWidth="1"/>
    <col min="482" max="482" width="13" style="1" customWidth="1"/>
    <col min="483" max="483" width="18.7109375" style="1" customWidth="1"/>
    <col min="484" max="484" width="6" style="1" customWidth="1"/>
    <col min="485" max="485" width="15.28515625" style="1" customWidth="1"/>
    <col min="486" max="486" width="28" style="1" customWidth="1"/>
    <col min="487" max="487" width="13.5703125" style="1" customWidth="1"/>
    <col min="488" max="488" width="15.5703125" style="1" customWidth="1"/>
    <col min="489" max="489" width="8.85546875" style="1" customWidth="1"/>
    <col min="490" max="490" width="15.28515625" style="1" customWidth="1"/>
    <col min="491" max="491" width="15.7109375" style="1" customWidth="1"/>
    <col min="492" max="494" width="17.140625" style="1" customWidth="1"/>
    <col min="495" max="495" width="35.7109375" style="1" customWidth="1"/>
    <col min="496" max="496" width="28.5703125" style="1" customWidth="1"/>
    <col min="497" max="497" width="17.140625" style="1" customWidth="1"/>
    <col min="498" max="498" width="28.5703125" style="1" customWidth="1"/>
    <col min="499" max="727" width="9.140625" style="1"/>
    <col min="728" max="728" width="11.42578125" style="1" customWidth="1"/>
    <col min="729" max="729" width="25.140625" style="1" customWidth="1"/>
    <col min="730" max="730" width="42.7109375" style="1" customWidth="1"/>
    <col min="731" max="731" width="9.28515625" style="1" customWidth="1"/>
    <col min="732" max="732" width="13.85546875" style="1" customWidth="1"/>
    <col min="733" max="733" width="10.42578125" style="1" customWidth="1"/>
    <col min="734" max="734" width="16.7109375" style="1" customWidth="1"/>
    <col min="735" max="735" width="16.28515625" style="1" customWidth="1"/>
    <col min="736" max="736" width="14.42578125" style="1" customWidth="1"/>
    <col min="737" max="737" width="14.85546875" style="1" customWidth="1"/>
    <col min="738" max="738" width="13" style="1" customWidth="1"/>
    <col min="739" max="739" width="18.7109375" style="1" customWidth="1"/>
    <col min="740" max="740" width="6" style="1" customWidth="1"/>
    <col min="741" max="741" width="15.28515625" style="1" customWidth="1"/>
    <col min="742" max="742" width="28" style="1" customWidth="1"/>
    <col min="743" max="743" width="13.5703125" style="1" customWidth="1"/>
    <col min="744" max="744" width="15.5703125" style="1" customWidth="1"/>
    <col min="745" max="745" width="8.85546875" style="1" customWidth="1"/>
    <col min="746" max="746" width="15.28515625" style="1" customWidth="1"/>
    <col min="747" max="747" width="15.7109375" style="1" customWidth="1"/>
    <col min="748" max="750" width="17.140625" style="1" customWidth="1"/>
    <col min="751" max="751" width="35.7109375" style="1" customWidth="1"/>
    <col min="752" max="752" width="28.5703125" style="1" customWidth="1"/>
    <col min="753" max="753" width="17.140625" style="1" customWidth="1"/>
    <col min="754" max="754" width="28.5703125" style="1" customWidth="1"/>
    <col min="755" max="983" width="9.140625" style="1"/>
    <col min="984" max="984" width="11.42578125" style="1" customWidth="1"/>
    <col min="985" max="985" width="25.140625" style="1" customWidth="1"/>
    <col min="986" max="986" width="42.7109375" style="1" customWidth="1"/>
    <col min="987" max="987" width="9.28515625" style="1" customWidth="1"/>
    <col min="988" max="988" width="13.85546875" style="1" customWidth="1"/>
    <col min="989" max="989" width="10.42578125" style="1" customWidth="1"/>
    <col min="990" max="990" width="16.7109375" style="1" customWidth="1"/>
    <col min="991" max="991" width="16.28515625" style="1" customWidth="1"/>
    <col min="992" max="992" width="14.42578125" style="1" customWidth="1"/>
    <col min="993" max="993" width="14.85546875" style="1" customWidth="1"/>
    <col min="994" max="994" width="13" style="1" customWidth="1"/>
    <col min="995" max="995" width="18.7109375" style="1" customWidth="1"/>
    <col min="996" max="996" width="6" style="1" customWidth="1"/>
    <col min="997" max="997" width="15.28515625" style="1" customWidth="1"/>
    <col min="998" max="998" width="28" style="1" customWidth="1"/>
    <col min="999" max="999" width="13.5703125" style="1" customWidth="1"/>
    <col min="1000" max="1000" width="15.5703125" style="1" customWidth="1"/>
    <col min="1001" max="1001" width="8.85546875" style="1" customWidth="1"/>
    <col min="1002" max="1002" width="15.28515625" style="1" customWidth="1"/>
    <col min="1003" max="1003" width="15.7109375" style="1" customWidth="1"/>
    <col min="1004" max="1006" width="17.140625" style="1" customWidth="1"/>
    <col min="1007" max="1007" width="35.7109375" style="1" customWidth="1"/>
    <col min="1008" max="1008" width="28.5703125" style="1" customWidth="1"/>
    <col min="1009" max="1009" width="17.140625" style="1" customWidth="1"/>
    <col min="1010" max="1010" width="28.5703125" style="1" customWidth="1"/>
    <col min="1011" max="1239" width="9.140625" style="1"/>
    <col min="1240" max="1240" width="11.42578125" style="1" customWidth="1"/>
    <col min="1241" max="1241" width="25.140625" style="1" customWidth="1"/>
    <col min="1242" max="1242" width="42.7109375" style="1" customWidth="1"/>
    <col min="1243" max="1243" width="9.28515625" style="1" customWidth="1"/>
    <col min="1244" max="1244" width="13.85546875" style="1" customWidth="1"/>
    <col min="1245" max="1245" width="10.42578125" style="1" customWidth="1"/>
    <col min="1246" max="1246" width="16.7109375" style="1" customWidth="1"/>
    <col min="1247" max="1247" width="16.28515625" style="1" customWidth="1"/>
    <col min="1248" max="1248" width="14.42578125" style="1" customWidth="1"/>
    <col min="1249" max="1249" width="14.85546875" style="1" customWidth="1"/>
    <col min="1250" max="1250" width="13" style="1" customWidth="1"/>
    <col min="1251" max="1251" width="18.7109375" style="1" customWidth="1"/>
    <col min="1252" max="1252" width="6" style="1" customWidth="1"/>
    <col min="1253" max="1253" width="15.28515625" style="1" customWidth="1"/>
    <col min="1254" max="1254" width="28" style="1" customWidth="1"/>
    <col min="1255" max="1255" width="13.5703125" style="1" customWidth="1"/>
    <col min="1256" max="1256" width="15.5703125" style="1" customWidth="1"/>
    <col min="1257" max="1257" width="8.85546875" style="1" customWidth="1"/>
    <col min="1258" max="1258" width="15.28515625" style="1" customWidth="1"/>
    <col min="1259" max="1259" width="15.7109375" style="1" customWidth="1"/>
    <col min="1260" max="1262" width="17.140625" style="1" customWidth="1"/>
    <col min="1263" max="1263" width="35.7109375" style="1" customWidth="1"/>
    <col min="1264" max="1264" width="28.5703125" style="1" customWidth="1"/>
    <col min="1265" max="1265" width="17.140625" style="1" customWidth="1"/>
    <col min="1266" max="1266" width="28.5703125" style="1" customWidth="1"/>
    <col min="1267" max="1495" width="9.140625" style="1"/>
    <col min="1496" max="1496" width="11.42578125" style="1" customWidth="1"/>
    <col min="1497" max="1497" width="25.140625" style="1" customWidth="1"/>
    <col min="1498" max="1498" width="42.7109375" style="1" customWidth="1"/>
    <col min="1499" max="1499" width="9.28515625" style="1" customWidth="1"/>
    <col min="1500" max="1500" width="13.85546875" style="1" customWidth="1"/>
    <col min="1501" max="1501" width="10.42578125" style="1" customWidth="1"/>
    <col min="1502" max="1502" width="16.7109375" style="1" customWidth="1"/>
    <col min="1503" max="1503" width="16.28515625" style="1" customWidth="1"/>
    <col min="1504" max="1504" width="14.42578125" style="1" customWidth="1"/>
    <col min="1505" max="1505" width="14.85546875" style="1" customWidth="1"/>
    <col min="1506" max="1506" width="13" style="1" customWidth="1"/>
    <col min="1507" max="1507" width="18.7109375" style="1" customWidth="1"/>
    <col min="1508" max="1508" width="6" style="1" customWidth="1"/>
    <col min="1509" max="1509" width="15.28515625" style="1" customWidth="1"/>
    <col min="1510" max="1510" width="28" style="1" customWidth="1"/>
    <col min="1511" max="1511" width="13.5703125" style="1" customWidth="1"/>
    <col min="1512" max="1512" width="15.5703125" style="1" customWidth="1"/>
    <col min="1513" max="1513" width="8.85546875" style="1" customWidth="1"/>
    <col min="1514" max="1514" width="15.28515625" style="1" customWidth="1"/>
    <col min="1515" max="1515" width="15.7109375" style="1" customWidth="1"/>
    <col min="1516" max="1518" width="17.140625" style="1" customWidth="1"/>
    <col min="1519" max="1519" width="35.7109375" style="1" customWidth="1"/>
    <col min="1520" max="1520" width="28.5703125" style="1" customWidth="1"/>
    <col min="1521" max="1521" width="17.140625" style="1" customWidth="1"/>
    <col min="1522" max="1522" width="28.5703125" style="1" customWidth="1"/>
    <col min="1523" max="1751" width="9.140625" style="1"/>
    <col min="1752" max="1752" width="11.42578125" style="1" customWidth="1"/>
    <col min="1753" max="1753" width="25.140625" style="1" customWidth="1"/>
    <col min="1754" max="1754" width="42.7109375" style="1" customWidth="1"/>
    <col min="1755" max="1755" width="9.28515625" style="1" customWidth="1"/>
    <col min="1756" max="1756" width="13.85546875" style="1" customWidth="1"/>
    <col min="1757" max="1757" width="10.42578125" style="1" customWidth="1"/>
    <col min="1758" max="1758" width="16.7109375" style="1" customWidth="1"/>
    <col min="1759" max="1759" width="16.28515625" style="1" customWidth="1"/>
    <col min="1760" max="1760" width="14.42578125" style="1" customWidth="1"/>
    <col min="1761" max="1761" width="14.85546875" style="1" customWidth="1"/>
    <col min="1762" max="1762" width="13" style="1" customWidth="1"/>
    <col min="1763" max="1763" width="18.7109375" style="1" customWidth="1"/>
    <col min="1764" max="1764" width="6" style="1" customWidth="1"/>
    <col min="1765" max="1765" width="15.28515625" style="1" customWidth="1"/>
    <col min="1766" max="1766" width="28" style="1" customWidth="1"/>
    <col min="1767" max="1767" width="13.5703125" style="1" customWidth="1"/>
    <col min="1768" max="1768" width="15.5703125" style="1" customWidth="1"/>
    <col min="1769" max="1769" width="8.85546875" style="1" customWidth="1"/>
    <col min="1770" max="1770" width="15.28515625" style="1" customWidth="1"/>
    <col min="1771" max="1771" width="15.7109375" style="1" customWidth="1"/>
    <col min="1772" max="1774" width="17.140625" style="1" customWidth="1"/>
    <col min="1775" max="1775" width="35.7109375" style="1" customWidth="1"/>
    <col min="1776" max="1776" width="28.5703125" style="1" customWidth="1"/>
    <col min="1777" max="1777" width="17.140625" style="1" customWidth="1"/>
    <col min="1778" max="1778" width="28.5703125" style="1" customWidth="1"/>
    <col min="1779" max="2007" width="9.140625" style="1"/>
    <col min="2008" max="2008" width="11.42578125" style="1" customWidth="1"/>
    <col min="2009" max="2009" width="25.140625" style="1" customWidth="1"/>
    <col min="2010" max="2010" width="42.7109375" style="1" customWidth="1"/>
    <col min="2011" max="2011" width="9.28515625" style="1" customWidth="1"/>
    <col min="2012" max="2012" width="13.85546875" style="1" customWidth="1"/>
    <col min="2013" max="2013" width="10.42578125" style="1" customWidth="1"/>
    <col min="2014" max="2014" width="16.7109375" style="1" customWidth="1"/>
    <col min="2015" max="2015" width="16.28515625" style="1" customWidth="1"/>
    <col min="2016" max="2016" width="14.42578125" style="1" customWidth="1"/>
    <col min="2017" max="2017" width="14.85546875" style="1" customWidth="1"/>
    <col min="2018" max="2018" width="13" style="1" customWidth="1"/>
    <col min="2019" max="2019" width="18.7109375" style="1" customWidth="1"/>
    <col min="2020" max="2020" width="6" style="1" customWidth="1"/>
    <col min="2021" max="2021" width="15.28515625" style="1" customWidth="1"/>
    <col min="2022" max="2022" width="28" style="1" customWidth="1"/>
    <col min="2023" max="2023" width="13.5703125" style="1" customWidth="1"/>
    <col min="2024" max="2024" width="15.5703125" style="1" customWidth="1"/>
    <col min="2025" max="2025" width="8.85546875" style="1" customWidth="1"/>
    <col min="2026" max="2026" width="15.28515625" style="1" customWidth="1"/>
    <col min="2027" max="2027" width="15.7109375" style="1" customWidth="1"/>
    <col min="2028" max="2030" width="17.140625" style="1" customWidth="1"/>
    <col min="2031" max="2031" width="35.7109375" style="1" customWidth="1"/>
    <col min="2032" max="2032" width="28.5703125" style="1" customWidth="1"/>
    <col min="2033" max="2033" width="17.140625" style="1" customWidth="1"/>
    <col min="2034" max="2034" width="28.5703125" style="1" customWidth="1"/>
    <col min="2035" max="2263" width="9.140625" style="1"/>
    <col min="2264" max="2264" width="11.42578125" style="1" customWidth="1"/>
    <col min="2265" max="2265" width="25.140625" style="1" customWidth="1"/>
    <col min="2266" max="2266" width="42.7109375" style="1" customWidth="1"/>
    <col min="2267" max="2267" width="9.28515625" style="1" customWidth="1"/>
    <col min="2268" max="2268" width="13.85546875" style="1" customWidth="1"/>
    <col min="2269" max="2269" width="10.42578125" style="1" customWidth="1"/>
    <col min="2270" max="2270" width="16.7109375" style="1" customWidth="1"/>
    <col min="2271" max="2271" width="16.28515625" style="1" customWidth="1"/>
    <col min="2272" max="2272" width="14.42578125" style="1" customWidth="1"/>
    <col min="2273" max="2273" width="14.85546875" style="1" customWidth="1"/>
    <col min="2274" max="2274" width="13" style="1" customWidth="1"/>
    <col min="2275" max="2275" width="18.7109375" style="1" customWidth="1"/>
    <col min="2276" max="2276" width="6" style="1" customWidth="1"/>
    <col min="2277" max="2277" width="15.28515625" style="1" customWidth="1"/>
    <col min="2278" max="2278" width="28" style="1" customWidth="1"/>
    <col min="2279" max="2279" width="13.5703125" style="1" customWidth="1"/>
    <col min="2280" max="2280" width="15.5703125" style="1" customWidth="1"/>
    <col min="2281" max="2281" width="8.85546875" style="1" customWidth="1"/>
    <col min="2282" max="2282" width="15.28515625" style="1" customWidth="1"/>
    <col min="2283" max="2283" width="15.7109375" style="1" customWidth="1"/>
    <col min="2284" max="2286" width="17.140625" style="1" customWidth="1"/>
    <col min="2287" max="2287" width="35.7109375" style="1" customWidth="1"/>
    <col min="2288" max="2288" width="28.5703125" style="1" customWidth="1"/>
    <col min="2289" max="2289" width="17.140625" style="1" customWidth="1"/>
    <col min="2290" max="2290" width="28.5703125" style="1" customWidth="1"/>
    <col min="2291" max="2519" width="9.140625" style="1"/>
    <col min="2520" max="2520" width="11.42578125" style="1" customWidth="1"/>
    <col min="2521" max="2521" width="25.140625" style="1" customWidth="1"/>
    <col min="2522" max="2522" width="42.7109375" style="1" customWidth="1"/>
    <col min="2523" max="2523" width="9.28515625" style="1" customWidth="1"/>
    <col min="2524" max="2524" width="13.85546875" style="1" customWidth="1"/>
    <col min="2525" max="2525" width="10.42578125" style="1" customWidth="1"/>
    <col min="2526" max="2526" width="16.7109375" style="1" customWidth="1"/>
    <col min="2527" max="2527" width="16.28515625" style="1" customWidth="1"/>
    <col min="2528" max="2528" width="14.42578125" style="1" customWidth="1"/>
    <col min="2529" max="2529" width="14.85546875" style="1" customWidth="1"/>
    <col min="2530" max="2530" width="13" style="1" customWidth="1"/>
    <col min="2531" max="2531" width="18.7109375" style="1" customWidth="1"/>
    <col min="2532" max="2532" width="6" style="1" customWidth="1"/>
    <col min="2533" max="2533" width="15.28515625" style="1" customWidth="1"/>
    <col min="2534" max="2534" width="28" style="1" customWidth="1"/>
    <col min="2535" max="2535" width="13.5703125" style="1" customWidth="1"/>
    <col min="2536" max="2536" width="15.5703125" style="1" customWidth="1"/>
    <col min="2537" max="2537" width="8.85546875" style="1" customWidth="1"/>
    <col min="2538" max="2538" width="15.28515625" style="1" customWidth="1"/>
    <col min="2539" max="2539" width="15.7109375" style="1" customWidth="1"/>
    <col min="2540" max="2542" width="17.140625" style="1" customWidth="1"/>
    <col min="2543" max="2543" width="35.7109375" style="1" customWidth="1"/>
    <col min="2544" max="2544" width="28.5703125" style="1" customWidth="1"/>
    <col min="2545" max="2545" width="17.140625" style="1" customWidth="1"/>
    <col min="2546" max="2546" width="28.5703125" style="1" customWidth="1"/>
    <col min="2547" max="2775" width="9.140625" style="1"/>
    <col min="2776" max="2776" width="11.42578125" style="1" customWidth="1"/>
    <col min="2777" max="2777" width="25.140625" style="1" customWidth="1"/>
    <col min="2778" max="2778" width="42.7109375" style="1" customWidth="1"/>
    <col min="2779" max="2779" width="9.28515625" style="1" customWidth="1"/>
    <col min="2780" max="2780" width="13.85546875" style="1" customWidth="1"/>
    <col min="2781" max="2781" width="10.42578125" style="1" customWidth="1"/>
    <col min="2782" max="2782" width="16.7109375" style="1" customWidth="1"/>
    <col min="2783" max="2783" width="16.28515625" style="1" customWidth="1"/>
    <col min="2784" max="2784" width="14.42578125" style="1" customWidth="1"/>
    <col min="2785" max="2785" width="14.85546875" style="1" customWidth="1"/>
    <col min="2786" max="2786" width="13" style="1" customWidth="1"/>
    <col min="2787" max="2787" width="18.7109375" style="1" customWidth="1"/>
    <col min="2788" max="2788" width="6" style="1" customWidth="1"/>
    <col min="2789" max="2789" width="15.28515625" style="1" customWidth="1"/>
    <col min="2790" max="2790" width="28" style="1" customWidth="1"/>
    <col min="2791" max="2791" width="13.5703125" style="1" customWidth="1"/>
    <col min="2792" max="2792" width="15.5703125" style="1" customWidth="1"/>
    <col min="2793" max="2793" width="8.85546875" style="1" customWidth="1"/>
    <col min="2794" max="2794" width="15.28515625" style="1" customWidth="1"/>
    <col min="2795" max="2795" width="15.7109375" style="1" customWidth="1"/>
    <col min="2796" max="2798" width="17.140625" style="1" customWidth="1"/>
    <col min="2799" max="2799" width="35.7109375" style="1" customWidth="1"/>
    <col min="2800" max="2800" width="28.5703125" style="1" customWidth="1"/>
    <col min="2801" max="2801" width="17.140625" style="1" customWidth="1"/>
    <col min="2802" max="2802" width="28.5703125" style="1" customWidth="1"/>
    <col min="2803" max="3031" width="9.140625" style="1"/>
    <col min="3032" max="3032" width="11.42578125" style="1" customWidth="1"/>
    <col min="3033" max="3033" width="25.140625" style="1" customWidth="1"/>
    <col min="3034" max="3034" width="42.7109375" style="1" customWidth="1"/>
    <col min="3035" max="3035" width="9.28515625" style="1" customWidth="1"/>
    <col min="3036" max="3036" width="13.85546875" style="1" customWidth="1"/>
    <col min="3037" max="3037" width="10.42578125" style="1" customWidth="1"/>
    <col min="3038" max="3038" width="16.7109375" style="1" customWidth="1"/>
    <col min="3039" max="3039" width="16.28515625" style="1" customWidth="1"/>
    <col min="3040" max="3040" width="14.42578125" style="1" customWidth="1"/>
    <col min="3041" max="3041" width="14.85546875" style="1" customWidth="1"/>
    <col min="3042" max="3042" width="13" style="1" customWidth="1"/>
    <col min="3043" max="3043" width="18.7109375" style="1" customWidth="1"/>
    <col min="3044" max="3044" width="6" style="1" customWidth="1"/>
    <col min="3045" max="3045" width="15.28515625" style="1" customWidth="1"/>
    <col min="3046" max="3046" width="28" style="1" customWidth="1"/>
    <col min="3047" max="3047" width="13.5703125" style="1" customWidth="1"/>
    <col min="3048" max="3048" width="15.5703125" style="1" customWidth="1"/>
    <col min="3049" max="3049" width="8.85546875" style="1" customWidth="1"/>
    <col min="3050" max="3050" width="15.28515625" style="1" customWidth="1"/>
    <col min="3051" max="3051" width="15.7109375" style="1" customWidth="1"/>
    <col min="3052" max="3054" width="17.140625" style="1" customWidth="1"/>
    <col min="3055" max="3055" width="35.7109375" style="1" customWidth="1"/>
    <col min="3056" max="3056" width="28.5703125" style="1" customWidth="1"/>
    <col min="3057" max="3057" width="17.140625" style="1" customWidth="1"/>
    <col min="3058" max="3058" width="28.5703125" style="1" customWidth="1"/>
    <col min="3059" max="3287" width="9.140625" style="1"/>
    <col min="3288" max="3288" width="11.42578125" style="1" customWidth="1"/>
    <col min="3289" max="3289" width="25.140625" style="1" customWidth="1"/>
    <col min="3290" max="3290" width="42.7109375" style="1" customWidth="1"/>
    <col min="3291" max="3291" width="9.28515625" style="1" customWidth="1"/>
    <col min="3292" max="3292" width="13.85546875" style="1" customWidth="1"/>
    <col min="3293" max="3293" width="10.42578125" style="1" customWidth="1"/>
    <col min="3294" max="3294" width="16.7109375" style="1" customWidth="1"/>
    <col min="3295" max="3295" width="16.28515625" style="1" customWidth="1"/>
    <col min="3296" max="3296" width="14.42578125" style="1" customWidth="1"/>
    <col min="3297" max="3297" width="14.85546875" style="1" customWidth="1"/>
    <col min="3298" max="3298" width="13" style="1" customWidth="1"/>
    <col min="3299" max="3299" width="18.7109375" style="1" customWidth="1"/>
    <col min="3300" max="3300" width="6" style="1" customWidth="1"/>
    <col min="3301" max="3301" width="15.28515625" style="1" customWidth="1"/>
    <col min="3302" max="3302" width="28" style="1" customWidth="1"/>
    <col min="3303" max="3303" width="13.5703125" style="1" customWidth="1"/>
    <col min="3304" max="3304" width="15.5703125" style="1" customWidth="1"/>
    <col min="3305" max="3305" width="8.85546875" style="1" customWidth="1"/>
    <col min="3306" max="3306" width="15.28515625" style="1" customWidth="1"/>
    <col min="3307" max="3307" width="15.7109375" style="1" customWidth="1"/>
    <col min="3308" max="3310" width="17.140625" style="1" customWidth="1"/>
    <col min="3311" max="3311" width="35.7109375" style="1" customWidth="1"/>
    <col min="3312" max="3312" width="28.5703125" style="1" customWidth="1"/>
    <col min="3313" max="3313" width="17.140625" style="1" customWidth="1"/>
    <col min="3314" max="3314" width="28.5703125" style="1" customWidth="1"/>
    <col min="3315" max="3543" width="9.140625" style="1"/>
    <col min="3544" max="3544" width="11.42578125" style="1" customWidth="1"/>
    <col min="3545" max="3545" width="25.140625" style="1" customWidth="1"/>
    <col min="3546" max="3546" width="42.7109375" style="1" customWidth="1"/>
    <col min="3547" max="3547" width="9.28515625" style="1" customWidth="1"/>
    <col min="3548" max="3548" width="13.85546875" style="1" customWidth="1"/>
    <col min="3549" max="3549" width="10.42578125" style="1" customWidth="1"/>
    <col min="3550" max="3550" width="16.7109375" style="1" customWidth="1"/>
    <col min="3551" max="3551" width="16.28515625" style="1" customWidth="1"/>
    <col min="3552" max="3552" width="14.42578125" style="1" customWidth="1"/>
    <col min="3553" max="3553" width="14.85546875" style="1" customWidth="1"/>
    <col min="3554" max="3554" width="13" style="1" customWidth="1"/>
    <col min="3555" max="3555" width="18.7109375" style="1" customWidth="1"/>
    <col min="3556" max="3556" width="6" style="1" customWidth="1"/>
    <col min="3557" max="3557" width="15.28515625" style="1" customWidth="1"/>
    <col min="3558" max="3558" width="28" style="1" customWidth="1"/>
    <col min="3559" max="3559" width="13.5703125" style="1" customWidth="1"/>
    <col min="3560" max="3560" width="15.5703125" style="1" customWidth="1"/>
    <col min="3561" max="3561" width="8.85546875" style="1" customWidth="1"/>
    <col min="3562" max="3562" width="15.28515625" style="1" customWidth="1"/>
    <col min="3563" max="3563" width="15.7109375" style="1" customWidth="1"/>
    <col min="3564" max="3566" width="17.140625" style="1" customWidth="1"/>
    <col min="3567" max="3567" width="35.7109375" style="1" customWidth="1"/>
    <col min="3568" max="3568" width="28.5703125" style="1" customWidth="1"/>
    <col min="3569" max="3569" width="17.140625" style="1" customWidth="1"/>
    <col min="3570" max="3570" width="28.5703125" style="1" customWidth="1"/>
    <col min="3571" max="3799" width="9.140625" style="1"/>
    <col min="3800" max="3800" width="11.42578125" style="1" customWidth="1"/>
    <col min="3801" max="3801" width="25.140625" style="1" customWidth="1"/>
    <col min="3802" max="3802" width="42.7109375" style="1" customWidth="1"/>
    <col min="3803" max="3803" width="9.28515625" style="1" customWidth="1"/>
    <col min="3804" max="3804" width="13.85546875" style="1" customWidth="1"/>
    <col min="3805" max="3805" width="10.42578125" style="1" customWidth="1"/>
    <col min="3806" max="3806" width="16.7109375" style="1" customWidth="1"/>
    <col min="3807" max="3807" width="16.28515625" style="1" customWidth="1"/>
    <col min="3808" max="3808" width="14.42578125" style="1" customWidth="1"/>
    <col min="3809" max="3809" width="14.85546875" style="1" customWidth="1"/>
    <col min="3810" max="3810" width="13" style="1" customWidth="1"/>
    <col min="3811" max="3811" width="18.7109375" style="1" customWidth="1"/>
    <col min="3812" max="3812" width="6" style="1" customWidth="1"/>
    <col min="3813" max="3813" width="15.28515625" style="1" customWidth="1"/>
    <col min="3814" max="3814" width="28" style="1" customWidth="1"/>
    <col min="3815" max="3815" width="13.5703125" style="1" customWidth="1"/>
    <col min="3816" max="3816" width="15.5703125" style="1" customWidth="1"/>
    <col min="3817" max="3817" width="8.85546875" style="1" customWidth="1"/>
    <col min="3818" max="3818" width="15.28515625" style="1" customWidth="1"/>
    <col min="3819" max="3819" width="15.7109375" style="1" customWidth="1"/>
    <col min="3820" max="3822" width="17.140625" style="1" customWidth="1"/>
    <col min="3823" max="3823" width="35.7109375" style="1" customWidth="1"/>
    <col min="3824" max="3824" width="28.5703125" style="1" customWidth="1"/>
    <col min="3825" max="3825" width="17.140625" style="1" customWidth="1"/>
    <col min="3826" max="3826" width="28.5703125" style="1" customWidth="1"/>
    <col min="3827" max="4055" width="9.140625" style="1"/>
    <col min="4056" max="4056" width="11.42578125" style="1" customWidth="1"/>
    <col min="4057" max="4057" width="25.140625" style="1" customWidth="1"/>
    <col min="4058" max="4058" width="42.7109375" style="1" customWidth="1"/>
    <col min="4059" max="4059" width="9.28515625" style="1" customWidth="1"/>
    <col min="4060" max="4060" width="13.85546875" style="1" customWidth="1"/>
    <col min="4061" max="4061" width="10.42578125" style="1" customWidth="1"/>
    <col min="4062" max="4062" width="16.7109375" style="1" customWidth="1"/>
    <col min="4063" max="4063" width="16.28515625" style="1" customWidth="1"/>
    <col min="4064" max="4064" width="14.42578125" style="1" customWidth="1"/>
    <col min="4065" max="4065" width="14.85546875" style="1" customWidth="1"/>
    <col min="4066" max="4066" width="13" style="1" customWidth="1"/>
    <col min="4067" max="4067" width="18.7109375" style="1" customWidth="1"/>
    <col min="4068" max="4068" width="6" style="1" customWidth="1"/>
    <col min="4069" max="4069" width="15.28515625" style="1" customWidth="1"/>
    <col min="4070" max="4070" width="28" style="1" customWidth="1"/>
    <col min="4071" max="4071" width="13.5703125" style="1" customWidth="1"/>
    <col min="4072" max="4072" width="15.5703125" style="1" customWidth="1"/>
    <col min="4073" max="4073" width="8.85546875" style="1" customWidth="1"/>
    <col min="4074" max="4074" width="15.28515625" style="1" customWidth="1"/>
    <col min="4075" max="4075" width="15.7109375" style="1" customWidth="1"/>
    <col min="4076" max="4078" width="17.140625" style="1" customWidth="1"/>
    <col min="4079" max="4079" width="35.7109375" style="1" customWidth="1"/>
    <col min="4080" max="4080" width="28.5703125" style="1" customWidth="1"/>
    <col min="4081" max="4081" width="17.140625" style="1" customWidth="1"/>
    <col min="4082" max="4082" width="28.5703125" style="1" customWidth="1"/>
    <col min="4083" max="4311" width="9.140625" style="1"/>
    <col min="4312" max="4312" width="11.42578125" style="1" customWidth="1"/>
    <col min="4313" max="4313" width="25.140625" style="1" customWidth="1"/>
    <col min="4314" max="4314" width="42.7109375" style="1" customWidth="1"/>
    <col min="4315" max="4315" width="9.28515625" style="1" customWidth="1"/>
    <col min="4316" max="4316" width="13.85546875" style="1" customWidth="1"/>
    <col min="4317" max="4317" width="10.42578125" style="1" customWidth="1"/>
    <col min="4318" max="4318" width="16.7109375" style="1" customWidth="1"/>
    <col min="4319" max="4319" width="16.28515625" style="1" customWidth="1"/>
    <col min="4320" max="4320" width="14.42578125" style="1" customWidth="1"/>
    <col min="4321" max="4321" width="14.85546875" style="1" customWidth="1"/>
    <col min="4322" max="4322" width="13" style="1" customWidth="1"/>
    <col min="4323" max="4323" width="18.7109375" style="1" customWidth="1"/>
    <col min="4324" max="4324" width="6" style="1" customWidth="1"/>
    <col min="4325" max="4325" width="15.28515625" style="1" customWidth="1"/>
    <col min="4326" max="4326" width="28" style="1" customWidth="1"/>
    <col min="4327" max="4327" width="13.5703125" style="1" customWidth="1"/>
    <col min="4328" max="4328" width="15.5703125" style="1" customWidth="1"/>
    <col min="4329" max="4329" width="8.85546875" style="1" customWidth="1"/>
    <col min="4330" max="4330" width="15.28515625" style="1" customWidth="1"/>
    <col min="4331" max="4331" width="15.7109375" style="1" customWidth="1"/>
    <col min="4332" max="4334" width="17.140625" style="1" customWidth="1"/>
    <col min="4335" max="4335" width="35.7109375" style="1" customWidth="1"/>
    <col min="4336" max="4336" width="28.5703125" style="1" customWidth="1"/>
    <col min="4337" max="4337" width="17.140625" style="1" customWidth="1"/>
    <col min="4338" max="4338" width="28.5703125" style="1" customWidth="1"/>
    <col min="4339" max="4567" width="9.140625" style="1"/>
    <col min="4568" max="4568" width="11.42578125" style="1" customWidth="1"/>
    <col min="4569" max="4569" width="25.140625" style="1" customWidth="1"/>
    <col min="4570" max="4570" width="42.7109375" style="1" customWidth="1"/>
    <col min="4571" max="4571" width="9.28515625" style="1" customWidth="1"/>
    <col min="4572" max="4572" width="13.85546875" style="1" customWidth="1"/>
    <col min="4573" max="4573" width="10.42578125" style="1" customWidth="1"/>
    <col min="4574" max="4574" width="16.7109375" style="1" customWidth="1"/>
    <col min="4575" max="4575" width="16.28515625" style="1" customWidth="1"/>
    <col min="4576" max="4576" width="14.42578125" style="1" customWidth="1"/>
    <col min="4577" max="4577" width="14.85546875" style="1" customWidth="1"/>
    <col min="4578" max="4578" width="13" style="1" customWidth="1"/>
    <col min="4579" max="4579" width="18.7109375" style="1" customWidth="1"/>
    <col min="4580" max="4580" width="6" style="1" customWidth="1"/>
    <col min="4581" max="4581" width="15.28515625" style="1" customWidth="1"/>
    <col min="4582" max="4582" width="28" style="1" customWidth="1"/>
    <col min="4583" max="4583" width="13.5703125" style="1" customWidth="1"/>
    <col min="4584" max="4584" width="15.5703125" style="1" customWidth="1"/>
    <col min="4585" max="4585" width="8.85546875" style="1" customWidth="1"/>
    <col min="4586" max="4586" width="15.28515625" style="1" customWidth="1"/>
    <col min="4587" max="4587" width="15.7109375" style="1" customWidth="1"/>
    <col min="4588" max="4590" width="17.140625" style="1" customWidth="1"/>
    <col min="4591" max="4591" width="35.7109375" style="1" customWidth="1"/>
    <col min="4592" max="4592" width="28.5703125" style="1" customWidth="1"/>
    <col min="4593" max="4593" width="17.140625" style="1" customWidth="1"/>
    <col min="4594" max="4594" width="28.5703125" style="1" customWidth="1"/>
    <col min="4595" max="4823" width="9.140625" style="1"/>
    <col min="4824" max="4824" width="11.42578125" style="1" customWidth="1"/>
    <col min="4825" max="4825" width="25.140625" style="1" customWidth="1"/>
    <col min="4826" max="4826" width="42.7109375" style="1" customWidth="1"/>
    <col min="4827" max="4827" width="9.28515625" style="1" customWidth="1"/>
    <col min="4828" max="4828" width="13.85546875" style="1" customWidth="1"/>
    <col min="4829" max="4829" width="10.42578125" style="1" customWidth="1"/>
    <col min="4830" max="4830" width="16.7109375" style="1" customWidth="1"/>
    <col min="4831" max="4831" width="16.28515625" style="1" customWidth="1"/>
    <col min="4832" max="4832" width="14.42578125" style="1" customWidth="1"/>
    <col min="4833" max="4833" width="14.85546875" style="1" customWidth="1"/>
    <col min="4834" max="4834" width="13" style="1" customWidth="1"/>
    <col min="4835" max="4835" width="18.7109375" style="1" customWidth="1"/>
    <col min="4836" max="4836" width="6" style="1" customWidth="1"/>
    <col min="4837" max="4837" width="15.28515625" style="1" customWidth="1"/>
    <col min="4838" max="4838" width="28" style="1" customWidth="1"/>
    <col min="4839" max="4839" width="13.5703125" style="1" customWidth="1"/>
    <col min="4840" max="4840" width="15.5703125" style="1" customWidth="1"/>
    <col min="4841" max="4841" width="8.85546875" style="1" customWidth="1"/>
    <col min="4842" max="4842" width="15.28515625" style="1" customWidth="1"/>
    <col min="4843" max="4843" width="15.7109375" style="1" customWidth="1"/>
    <col min="4844" max="4846" width="17.140625" style="1" customWidth="1"/>
    <col min="4847" max="4847" width="35.7109375" style="1" customWidth="1"/>
    <col min="4848" max="4848" width="28.5703125" style="1" customWidth="1"/>
    <col min="4849" max="4849" width="17.140625" style="1" customWidth="1"/>
    <col min="4850" max="4850" width="28.5703125" style="1" customWidth="1"/>
    <col min="4851" max="5079" width="9.140625" style="1"/>
    <col min="5080" max="5080" width="11.42578125" style="1" customWidth="1"/>
    <col min="5081" max="5081" width="25.140625" style="1" customWidth="1"/>
    <col min="5082" max="5082" width="42.7109375" style="1" customWidth="1"/>
    <col min="5083" max="5083" width="9.28515625" style="1" customWidth="1"/>
    <col min="5084" max="5084" width="13.85546875" style="1" customWidth="1"/>
    <col min="5085" max="5085" width="10.42578125" style="1" customWidth="1"/>
    <col min="5086" max="5086" width="16.7109375" style="1" customWidth="1"/>
    <col min="5087" max="5087" width="16.28515625" style="1" customWidth="1"/>
    <col min="5088" max="5088" width="14.42578125" style="1" customWidth="1"/>
    <col min="5089" max="5089" width="14.85546875" style="1" customWidth="1"/>
    <col min="5090" max="5090" width="13" style="1" customWidth="1"/>
    <col min="5091" max="5091" width="18.7109375" style="1" customWidth="1"/>
    <col min="5092" max="5092" width="6" style="1" customWidth="1"/>
    <col min="5093" max="5093" width="15.28515625" style="1" customWidth="1"/>
    <col min="5094" max="5094" width="28" style="1" customWidth="1"/>
    <col min="5095" max="5095" width="13.5703125" style="1" customWidth="1"/>
    <col min="5096" max="5096" width="15.5703125" style="1" customWidth="1"/>
    <col min="5097" max="5097" width="8.85546875" style="1" customWidth="1"/>
    <col min="5098" max="5098" width="15.28515625" style="1" customWidth="1"/>
    <col min="5099" max="5099" width="15.7109375" style="1" customWidth="1"/>
    <col min="5100" max="5102" width="17.140625" style="1" customWidth="1"/>
    <col min="5103" max="5103" width="35.7109375" style="1" customWidth="1"/>
    <col min="5104" max="5104" width="28.5703125" style="1" customWidth="1"/>
    <col min="5105" max="5105" width="17.140625" style="1" customWidth="1"/>
    <col min="5106" max="5106" width="28.5703125" style="1" customWidth="1"/>
    <col min="5107" max="5335" width="9.140625" style="1"/>
    <col min="5336" max="5336" width="11.42578125" style="1" customWidth="1"/>
    <col min="5337" max="5337" width="25.140625" style="1" customWidth="1"/>
    <col min="5338" max="5338" width="42.7109375" style="1" customWidth="1"/>
    <col min="5339" max="5339" width="9.28515625" style="1" customWidth="1"/>
    <col min="5340" max="5340" width="13.85546875" style="1" customWidth="1"/>
    <col min="5341" max="5341" width="10.42578125" style="1" customWidth="1"/>
    <col min="5342" max="5342" width="16.7109375" style="1" customWidth="1"/>
    <col min="5343" max="5343" width="16.28515625" style="1" customWidth="1"/>
    <col min="5344" max="5344" width="14.42578125" style="1" customWidth="1"/>
    <col min="5345" max="5345" width="14.85546875" style="1" customWidth="1"/>
    <col min="5346" max="5346" width="13" style="1" customWidth="1"/>
    <col min="5347" max="5347" width="18.7109375" style="1" customWidth="1"/>
    <col min="5348" max="5348" width="6" style="1" customWidth="1"/>
    <col min="5349" max="5349" width="15.28515625" style="1" customWidth="1"/>
    <col min="5350" max="5350" width="28" style="1" customWidth="1"/>
    <col min="5351" max="5351" width="13.5703125" style="1" customWidth="1"/>
    <col min="5352" max="5352" width="15.5703125" style="1" customWidth="1"/>
    <col min="5353" max="5353" width="8.85546875" style="1" customWidth="1"/>
    <col min="5354" max="5354" width="15.28515625" style="1" customWidth="1"/>
    <col min="5355" max="5355" width="15.7109375" style="1" customWidth="1"/>
    <col min="5356" max="5358" width="17.140625" style="1" customWidth="1"/>
    <col min="5359" max="5359" width="35.7109375" style="1" customWidth="1"/>
    <col min="5360" max="5360" width="28.5703125" style="1" customWidth="1"/>
    <col min="5361" max="5361" width="17.140625" style="1" customWidth="1"/>
    <col min="5362" max="5362" width="28.5703125" style="1" customWidth="1"/>
    <col min="5363" max="5591" width="9.140625" style="1"/>
    <col min="5592" max="5592" width="11.42578125" style="1" customWidth="1"/>
    <col min="5593" max="5593" width="25.140625" style="1" customWidth="1"/>
    <col min="5594" max="5594" width="42.7109375" style="1" customWidth="1"/>
    <col min="5595" max="5595" width="9.28515625" style="1" customWidth="1"/>
    <col min="5596" max="5596" width="13.85546875" style="1" customWidth="1"/>
    <col min="5597" max="5597" width="10.42578125" style="1" customWidth="1"/>
    <col min="5598" max="5598" width="16.7109375" style="1" customWidth="1"/>
    <col min="5599" max="5599" width="16.28515625" style="1" customWidth="1"/>
    <col min="5600" max="5600" width="14.42578125" style="1" customWidth="1"/>
    <col min="5601" max="5601" width="14.85546875" style="1" customWidth="1"/>
    <col min="5602" max="5602" width="13" style="1" customWidth="1"/>
    <col min="5603" max="5603" width="18.7109375" style="1" customWidth="1"/>
    <col min="5604" max="5604" width="6" style="1" customWidth="1"/>
    <col min="5605" max="5605" width="15.28515625" style="1" customWidth="1"/>
    <col min="5606" max="5606" width="28" style="1" customWidth="1"/>
    <col min="5607" max="5607" width="13.5703125" style="1" customWidth="1"/>
    <col min="5608" max="5608" width="15.5703125" style="1" customWidth="1"/>
    <col min="5609" max="5609" width="8.85546875" style="1" customWidth="1"/>
    <col min="5610" max="5610" width="15.28515625" style="1" customWidth="1"/>
    <col min="5611" max="5611" width="15.7109375" style="1" customWidth="1"/>
    <col min="5612" max="5614" width="17.140625" style="1" customWidth="1"/>
    <col min="5615" max="5615" width="35.7109375" style="1" customWidth="1"/>
    <col min="5616" max="5616" width="28.5703125" style="1" customWidth="1"/>
    <col min="5617" max="5617" width="17.140625" style="1" customWidth="1"/>
    <col min="5618" max="5618" width="28.5703125" style="1" customWidth="1"/>
    <col min="5619" max="5847" width="9.140625" style="1"/>
    <col min="5848" max="5848" width="11.42578125" style="1" customWidth="1"/>
    <col min="5849" max="5849" width="25.140625" style="1" customWidth="1"/>
    <col min="5850" max="5850" width="42.7109375" style="1" customWidth="1"/>
    <col min="5851" max="5851" width="9.28515625" style="1" customWidth="1"/>
    <col min="5852" max="5852" width="13.85546875" style="1" customWidth="1"/>
    <col min="5853" max="5853" width="10.42578125" style="1" customWidth="1"/>
    <col min="5854" max="5854" width="16.7109375" style="1" customWidth="1"/>
    <col min="5855" max="5855" width="16.28515625" style="1" customWidth="1"/>
    <col min="5856" max="5856" width="14.42578125" style="1" customWidth="1"/>
    <col min="5857" max="5857" width="14.85546875" style="1" customWidth="1"/>
    <col min="5858" max="5858" width="13" style="1" customWidth="1"/>
    <col min="5859" max="5859" width="18.7109375" style="1" customWidth="1"/>
    <col min="5860" max="5860" width="6" style="1" customWidth="1"/>
    <col min="5861" max="5861" width="15.28515625" style="1" customWidth="1"/>
    <col min="5862" max="5862" width="28" style="1" customWidth="1"/>
    <col min="5863" max="5863" width="13.5703125" style="1" customWidth="1"/>
    <col min="5864" max="5864" width="15.5703125" style="1" customWidth="1"/>
    <col min="5865" max="5865" width="8.85546875" style="1" customWidth="1"/>
    <col min="5866" max="5866" width="15.28515625" style="1" customWidth="1"/>
    <col min="5867" max="5867" width="15.7109375" style="1" customWidth="1"/>
    <col min="5868" max="5870" width="17.140625" style="1" customWidth="1"/>
    <col min="5871" max="5871" width="35.7109375" style="1" customWidth="1"/>
    <col min="5872" max="5872" width="28.5703125" style="1" customWidth="1"/>
    <col min="5873" max="5873" width="17.140625" style="1" customWidth="1"/>
    <col min="5874" max="5874" width="28.5703125" style="1" customWidth="1"/>
    <col min="5875" max="6103" width="9.140625" style="1"/>
    <col min="6104" max="6104" width="11.42578125" style="1" customWidth="1"/>
    <col min="6105" max="6105" width="25.140625" style="1" customWidth="1"/>
    <col min="6106" max="6106" width="42.7109375" style="1" customWidth="1"/>
    <col min="6107" max="6107" width="9.28515625" style="1" customWidth="1"/>
    <col min="6108" max="6108" width="13.85546875" style="1" customWidth="1"/>
    <col min="6109" max="6109" width="10.42578125" style="1" customWidth="1"/>
    <col min="6110" max="6110" width="16.7109375" style="1" customWidth="1"/>
    <col min="6111" max="6111" width="16.28515625" style="1" customWidth="1"/>
    <col min="6112" max="6112" width="14.42578125" style="1" customWidth="1"/>
    <col min="6113" max="6113" width="14.85546875" style="1" customWidth="1"/>
    <col min="6114" max="6114" width="13" style="1" customWidth="1"/>
    <col min="6115" max="6115" width="18.7109375" style="1" customWidth="1"/>
    <col min="6116" max="6116" width="6" style="1" customWidth="1"/>
    <col min="6117" max="6117" width="15.28515625" style="1" customWidth="1"/>
    <col min="6118" max="6118" width="28" style="1" customWidth="1"/>
    <col min="6119" max="6119" width="13.5703125" style="1" customWidth="1"/>
    <col min="6120" max="6120" width="15.5703125" style="1" customWidth="1"/>
    <col min="6121" max="6121" width="8.85546875" style="1" customWidth="1"/>
    <col min="6122" max="6122" width="15.28515625" style="1" customWidth="1"/>
    <col min="6123" max="6123" width="15.7109375" style="1" customWidth="1"/>
    <col min="6124" max="6126" width="17.140625" style="1" customWidth="1"/>
    <col min="6127" max="6127" width="35.7109375" style="1" customWidth="1"/>
    <col min="6128" max="6128" width="28.5703125" style="1" customWidth="1"/>
    <col min="6129" max="6129" width="17.140625" style="1" customWidth="1"/>
    <col min="6130" max="6130" width="28.5703125" style="1" customWidth="1"/>
    <col min="6131" max="6359" width="9.140625" style="1"/>
    <col min="6360" max="6360" width="11.42578125" style="1" customWidth="1"/>
    <col min="6361" max="6361" width="25.140625" style="1" customWidth="1"/>
    <col min="6362" max="6362" width="42.7109375" style="1" customWidth="1"/>
    <col min="6363" max="6363" width="9.28515625" style="1" customWidth="1"/>
    <col min="6364" max="6364" width="13.85546875" style="1" customWidth="1"/>
    <col min="6365" max="6365" width="10.42578125" style="1" customWidth="1"/>
    <col min="6366" max="6366" width="16.7109375" style="1" customWidth="1"/>
    <col min="6367" max="6367" width="16.28515625" style="1" customWidth="1"/>
    <col min="6368" max="6368" width="14.42578125" style="1" customWidth="1"/>
    <col min="6369" max="6369" width="14.85546875" style="1" customWidth="1"/>
    <col min="6370" max="6370" width="13" style="1" customWidth="1"/>
    <col min="6371" max="6371" width="18.7109375" style="1" customWidth="1"/>
    <col min="6372" max="6372" width="6" style="1" customWidth="1"/>
    <col min="6373" max="6373" width="15.28515625" style="1" customWidth="1"/>
    <col min="6374" max="6374" width="28" style="1" customWidth="1"/>
    <col min="6375" max="6375" width="13.5703125" style="1" customWidth="1"/>
    <col min="6376" max="6376" width="15.5703125" style="1" customWidth="1"/>
    <col min="6377" max="6377" width="8.85546875" style="1" customWidth="1"/>
    <col min="6378" max="6378" width="15.28515625" style="1" customWidth="1"/>
    <col min="6379" max="6379" width="15.7109375" style="1" customWidth="1"/>
    <col min="6380" max="6382" width="17.140625" style="1" customWidth="1"/>
    <col min="6383" max="6383" width="35.7109375" style="1" customWidth="1"/>
    <col min="6384" max="6384" width="28.5703125" style="1" customWidth="1"/>
    <col min="6385" max="6385" width="17.140625" style="1" customWidth="1"/>
    <col min="6386" max="6386" width="28.5703125" style="1" customWidth="1"/>
    <col min="6387" max="6615" width="9.140625" style="1"/>
    <col min="6616" max="6616" width="11.42578125" style="1" customWidth="1"/>
    <col min="6617" max="6617" width="25.140625" style="1" customWidth="1"/>
    <col min="6618" max="6618" width="42.7109375" style="1" customWidth="1"/>
    <col min="6619" max="6619" width="9.28515625" style="1" customWidth="1"/>
    <col min="6620" max="6620" width="13.85546875" style="1" customWidth="1"/>
    <col min="6621" max="6621" width="10.42578125" style="1" customWidth="1"/>
    <col min="6622" max="6622" width="16.7109375" style="1" customWidth="1"/>
    <col min="6623" max="6623" width="16.28515625" style="1" customWidth="1"/>
    <col min="6624" max="6624" width="14.42578125" style="1" customWidth="1"/>
    <col min="6625" max="6625" width="14.85546875" style="1" customWidth="1"/>
    <col min="6626" max="6626" width="13" style="1" customWidth="1"/>
    <col min="6627" max="6627" width="18.7109375" style="1" customWidth="1"/>
    <col min="6628" max="6628" width="6" style="1" customWidth="1"/>
    <col min="6629" max="6629" width="15.28515625" style="1" customWidth="1"/>
    <col min="6630" max="6630" width="28" style="1" customWidth="1"/>
    <col min="6631" max="6631" width="13.5703125" style="1" customWidth="1"/>
    <col min="6632" max="6632" width="15.5703125" style="1" customWidth="1"/>
    <col min="6633" max="6633" width="8.85546875" style="1" customWidth="1"/>
    <col min="6634" max="6634" width="15.28515625" style="1" customWidth="1"/>
    <col min="6635" max="6635" width="15.7109375" style="1" customWidth="1"/>
    <col min="6636" max="6638" width="17.140625" style="1" customWidth="1"/>
    <col min="6639" max="6639" width="35.7109375" style="1" customWidth="1"/>
    <col min="6640" max="6640" width="28.5703125" style="1" customWidth="1"/>
    <col min="6641" max="6641" width="17.140625" style="1" customWidth="1"/>
    <col min="6642" max="6642" width="28.5703125" style="1" customWidth="1"/>
    <col min="6643" max="6871" width="9.140625" style="1"/>
    <col min="6872" max="6872" width="11.42578125" style="1" customWidth="1"/>
    <col min="6873" max="6873" width="25.140625" style="1" customWidth="1"/>
    <col min="6874" max="6874" width="42.7109375" style="1" customWidth="1"/>
    <col min="6875" max="6875" width="9.28515625" style="1" customWidth="1"/>
    <col min="6876" max="6876" width="13.85546875" style="1" customWidth="1"/>
    <col min="6877" max="6877" width="10.42578125" style="1" customWidth="1"/>
    <col min="6878" max="6878" width="16.7109375" style="1" customWidth="1"/>
    <col min="6879" max="6879" width="16.28515625" style="1" customWidth="1"/>
    <col min="6880" max="6880" width="14.42578125" style="1" customWidth="1"/>
    <col min="6881" max="6881" width="14.85546875" style="1" customWidth="1"/>
    <col min="6882" max="6882" width="13" style="1" customWidth="1"/>
    <col min="6883" max="6883" width="18.7109375" style="1" customWidth="1"/>
    <col min="6884" max="6884" width="6" style="1" customWidth="1"/>
    <col min="6885" max="6885" width="15.28515625" style="1" customWidth="1"/>
    <col min="6886" max="6886" width="28" style="1" customWidth="1"/>
    <col min="6887" max="6887" width="13.5703125" style="1" customWidth="1"/>
    <col min="6888" max="6888" width="15.5703125" style="1" customWidth="1"/>
    <col min="6889" max="6889" width="8.85546875" style="1" customWidth="1"/>
    <col min="6890" max="6890" width="15.28515625" style="1" customWidth="1"/>
    <col min="6891" max="6891" width="15.7109375" style="1" customWidth="1"/>
    <col min="6892" max="6894" width="17.140625" style="1" customWidth="1"/>
    <col min="6895" max="6895" width="35.7109375" style="1" customWidth="1"/>
    <col min="6896" max="6896" width="28.5703125" style="1" customWidth="1"/>
    <col min="6897" max="6897" width="17.140625" style="1" customWidth="1"/>
    <col min="6898" max="6898" width="28.5703125" style="1" customWidth="1"/>
    <col min="6899" max="7127" width="9.140625" style="1"/>
    <col min="7128" max="7128" width="11.42578125" style="1" customWidth="1"/>
    <col min="7129" max="7129" width="25.140625" style="1" customWidth="1"/>
    <col min="7130" max="7130" width="42.7109375" style="1" customWidth="1"/>
    <col min="7131" max="7131" width="9.28515625" style="1" customWidth="1"/>
    <col min="7132" max="7132" width="13.85546875" style="1" customWidth="1"/>
    <col min="7133" max="7133" width="10.42578125" style="1" customWidth="1"/>
    <col min="7134" max="7134" width="16.7109375" style="1" customWidth="1"/>
    <col min="7135" max="7135" width="16.28515625" style="1" customWidth="1"/>
    <col min="7136" max="7136" width="14.42578125" style="1" customWidth="1"/>
    <col min="7137" max="7137" width="14.85546875" style="1" customWidth="1"/>
    <col min="7138" max="7138" width="13" style="1" customWidth="1"/>
    <col min="7139" max="7139" width="18.7109375" style="1" customWidth="1"/>
    <col min="7140" max="7140" width="6" style="1" customWidth="1"/>
    <col min="7141" max="7141" width="15.28515625" style="1" customWidth="1"/>
    <col min="7142" max="7142" width="28" style="1" customWidth="1"/>
    <col min="7143" max="7143" width="13.5703125" style="1" customWidth="1"/>
    <col min="7144" max="7144" width="15.5703125" style="1" customWidth="1"/>
    <col min="7145" max="7145" width="8.85546875" style="1" customWidth="1"/>
    <col min="7146" max="7146" width="15.28515625" style="1" customWidth="1"/>
    <col min="7147" max="7147" width="15.7109375" style="1" customWidth="1"/>
    <col min="7148" max="7150" width="17.140625" style="1" customWidth="1"/>
    <col min="7151" max="7151" width="35.7109375" style="1" customWidth="1"/>
    <col min="7152" max="7152" width="28.5703125" style="1" customWidth="1"/>
    <col min="7153" max="7153" width="17.140625" style="1" customWidth="1"/>
    <col min="7154" max="7154" width="28.5703125" style="1" customWidth="1"/>
    <col min="7155" max="7383" width="9.140625" style="1"/>
    <col min="7384" max="7384" width="11.42578125" style="1" customWidth="1"/>
    <col min="7385" max="7385" width="25.140625" style="1" customWidth="1"/>
    <col min="7386" max="7386" width="42.7109375" style="1" customWidth="1"/>
    <col min="7387" max="7387" width="9.28515625" style="1" customWidth="1"/>
    <col min="7388" max="7388" width="13.85546875" style="1" customWidth="1"/>
    <col min="7389" max="7389" width="10.42578125" style="1" customWidth="1"/>
    <col min="7390" max="7390" width="16.7109375" style="1" customWidth="1"/>
    <col min="7391" max="7391" width="16.28515625" style="1" customWidth="1"/>
    <col min="7392" max="7392" width="14.42578125" style="1" customWidth="1"/>
    <col min="7393" max="7393" width="14.85546875" style="1" customWidth="1"/>
    <col min="7394" max="7394" width="13" style="1" customWidth="1"/>
    <col min="7395" max="7395" width="18.7109375" style="1" customWidth="1"/>
    <col min="7396" max="7396" width="6" style="1" customWidth="1"/>
    <col min="7397" max="7397" width="15.28515625" style="1" customWidth="1"/>
    <col min="7398" max="7398" width="28" style="1" customWidth="1"/>
    <col min="7399" max="7399" width="13.5703125" style="1" customWidth="1"/>
    <col min="7400" max="7400" width="15.5703125" style="1" customWidth="1"/>
    <col min="7401" max="7401" width="8.85546875" style="1" customWidth="1"/>
    <col min="7402" max="7402" width="15.28515625" style="1" customWidth="1"/>
    <col min="7403" max="7403" width="15.7109375" style="1" customWidth="1"/>
    <col min="7404" max="7406" width="17.140625" style="1" customWidth="1"/>
    <col min="7407" max="7407" width="35.7109375" style="1" customWidth="1"/>
    <col min="7408" max="7408" width="28.5703125" style="1" customWidth="1"/>
    <col min="7409" max="7409" width="17.140625" style="1" customWidth="1"/>
    <col min="7410" max="7410" width="28.5703125" style="1" customWidth="1"/>
    <col min="7411" max="7639" width="9.140625" style="1"/>
    <col min="7640" max="7640" width="11.42578125" style="1" customWidth="1"/>
    <col min="7641" max="7641" width="25.140625" style="1" customWidth="1"/>
    <col min="7642" max="7642" width="42.7109375" style="1" customWidth="1"/>
    <col min="7643" max="7643" width="9.28515625" style="1" customWidth="1"/>
    <col min="7644" max="7644" width="13.85546875" style="1" customWidth="1"/>
    <col min="7645" max="7645" width="10.42578125" style="1" customWidth="1"/>
    <col min="7646" max="7646" width="16.7109375" style="1" customWidth="1"/>
    <col min="7647" max="7647" width="16.28515625" style="1" customWidth="1"/>
    <col min="7648" max="7648" width="14.42578125" style="1" customWidth="1"/>
    <col min="7649" max="7649" width="14.85546875" style="1" customWidth="1"/>
    <col min="7650" max="7650" width="13" style="1" customWidth="1"/>
    <col min="7651" max="7651" width="18.7109375" style="1" customWidth="1"/>
    <col min="7652" max="7652" width="6" style="1" customWidth="1"/>
    <col min="7653" max="7653" width="15.28515625" style="1" customWidth="1"/>
    <col min="7654" max="7654" width="28" style="1" customWidth="1"/>
    <col min="7655" max="7655" width="13.5703125" style="1" customWidth="1"/>
    <col min="7656" max="7656" width="15.5703125" style="1" customWidth="1"/>
    <col min="7657" max="7657" width="8.85546875" style="1" customWidth="1"/>
    <col min="7658" max="7658" width="15.28515625" style="1" customWidth="1"/>
    <col min="7659" max="7659" width="15.7109375" style="1" customWidth="1"/>
    <col min="7660" max="7662" width="17.140625" style="1" customWidth="1"/>
    <col min="7663" max="7663" width="35.7109375" style="1" customWidth="1"/>
    <col min="7664" max="7664" width="28.5703125" style="1" customWidth="1"/>
    <col min="7665" max="7665" width="17.140625" style="1" customWidth="1"/>
    <col min="7666" max="7666" width="28.5703125" style="1" customWidth="1"/>
    <col min="7667" max="7895" width="9.140625" style="1"/>
    <col min="7896" max="7896" width="11.42578125" style="1" customWidth="1"/>
    <col min="7897" max="7897" width="25.140625" style="1" customWidth="1"/>
    <col min="7898" max="7898" width="42.7109375" style="1" customWidth="1"/>
    <col min="7899" max="7899" width="9.28515625" style="1" customWidth="1"/>
    <col min="7900" max="7900" width="13.85546875" style="1" customWidth="1"/>
    <col min="7901" max="7901" width="10.42578125" style="1" customWidth="1"/>
    <col min="7902" max="7902" width="16.7109375" style="1" customWidth="1"/>
    <col min="7903" max="7903" width="16.28515625" style="1" customWidth="1"/>
    <col min="7904" max="7904" width="14.42578125" style="1" customWidth="1"/>
    <col min="7905" max="7905" width="14.85546875" style="1" customWidth="1"/>
    <col min="7906" max="7906" width="13" style="1" customWidth="1"/>
    <col min="7907" max="7907" width="18.7109375" style="1" customWidth="1"/>
    <col min="7908" max="7908" width="6" style="1" customWidth="1"/>
    <col min="7909" max="7909" width="15.28515625" style="1" customWidth="1"/>
    <col min="7910" max="7910" width="28" style="1" customWidth="1"/>
    <col min="7911" max="7911" width="13.5703125" style="1" customWidth="1"/>
    <col min="7912" max="7912" width="15.5703125" style="1" customWidth="1"/>
    <col min="7913" max="7913" width="8.85546875" style="1" customWidth="1"/>
    <col min="7914" max="7914" width="15.28515625" style="1" customWidth="1"/>
    <col min="7915" max="7915" width="15.7109375" style="1" customWidth="1"/>
    <col min="7916" max="7918" width="17.140625" style="1" customWidth="1"/>
    <col min="7919" max="7919" width="35.7109375" style="1" customWidth="1"/>
    <col min="7920" max="7920" width="28.5703125" style="1" customWidth="1"/>
    <col min="7921" max="7921" width="17.140625" style="1" customWidth="1"/>
    <col min="7922" max="7922" width="28.5703125" style="1" customWidth="1"/>
    <col min="7923" max="8151" width="9.140625" style="1"/>
    <col min="8152" max="8152" width="11.42578125" style="1" customWidth="1"/>
    <col min="8153" max="8153" width="25.140625" style="1" customWidth="1"/>
    <col min="8154" max="8154" width="42.7109375" style="1" customWidth="1"/>
    <col min="8155" max="8155" width="9.28515625" style="1" customWidth="1"/>
    <col min="8156" max="8156" width="13.85546875" style="1" customWidth="1"/>
    <col min="8157" max="8157" width="10.42578125" style="1" customWidth="1"/>
    <col min="8158" max="8158" width="16.7109375" style="1" customWidth="1"/>
    <col min="8159" max="8159" width="16.28515625" style="1" customWidth="1"/>
    <col min="8160" max="8160" width="14.42578125" style="1" customWidth="1"/>
    <col min="8161" max="8161" width="14.85546875" style="1" customWidth="1"/>
    <col min="8162" max="8162" width="13" style="1" customWidth="1"/>
    <col min="8163" max="8163" width="18.7109375" style="1" customWidth="1"/>
    <col min="8164" max="8164" width="6" style="1" customWidth="1"/>
    <col min="8165" max="8165" width="15.28515625" style="1" customWidth="1"/>
    <col min="8166" max="8166" width="28" style="1" customWidth="1"/>
    <col min="8167" max="8167" width="13.5703125" style="1" customWidth="1"/>
    <col min="8168" max="8168" width="15.5703125" style="1" customWidth="1"/>
    <col min="8169" max="8169" width="8.85546875" style="1" customWidth="1"/>
    <col min="8170" max="8170" width="15.28515625" style="1" customWidth="1"/>
    <col min="8171" max="8171" width="15.7109375" style="1" customWidth="1"/>
    <col min="8172" max="8174" width="17.140625" style="1" customWidth="1"/>
    <col min="8175" max="8175" width="35.7109375" style="1" customWidth="1"/>
    <col min="8176" max="8176" width="28.5703125" style="1" customWidth="1"/>
    <col min="8177" max="8177" width="17.140625" style="1" customWidth="1"/>
    <col min="8178" max="8178" width="28.5703125" style="1" customWidth="1"/>
    <col min="8179" max="8407" width="9.140625" style="1"/>
    <col min="8408" max="8408" width="11.42578125" style="1" customWidth="1"/>
    <col min="8409" max="8409" width="25.140625" style="1" customWidth="1"/>
    <col min="8410" max="8410" width="42.7109375" style="1" customWidth="1"/>
    <col min="8411" max="8411" width="9.28515625" style="1" customWidth="1"/>
    <col min="8412" max="8412" width="13.85546875" style="1" customWidth="1"/>
    <col min="8413" max="8413" width="10.42578125" style="1" customWidth="1"/>
    <col min="8414" max="8414" width="16.7109375" style="1" customWidth="1"/>
    <col min="8415" max="8415" width="16.28515625" style="1" customWidth="1"/>
    <col min="8416" max="8416" width="14.42578125" style="1" customWidth="1"/>
    <col min="8417" max="8417" width="14.85546875" style="1" customWidth="1"/>
    <col min="8418" max="8418" width="13" style="1" customWidth="1"/>
    <col min="8419" max="8419" width="18.7109375" style="1" customWidth="1"/>
    <col min="8420" max="8420" width="6" style="1" customWidth="1"/>
    <col min="8421" max="8421" width="15.28515625" style="1" customWidth="1"/>
    <col min="8422" max="8422" width="28" style="1" customWidth="1"/>
    <col min="8423" max="8423" width="13.5703125" style="1" customWidth="1"/>
    <col min="8424" max="8424" width="15.5703125" style="1" customWidth="1"/>
    <col min="8425" max="8425" width="8.85546875" style="1" customWidth="1"/>
    <col min="8426" max="8426" width="15.28515625" style="1" customWidth="1"/>
    <col min="8427" max="8427" width="15.7109375" style="1" customWidth="1"/>
    <col min="8428" max="8430" width="17.140625" style="1" customWidth="1"/>
    <col min="8431" max="8431" width="35.7109375" style="1" customWidth="1"/>
    <col min="8432" max="8432" width="28.5703125" style="1" customWidth="1"/>
    <col min="8433" max="8433" width="17.140625" style="1" customWidth="1"/>
    <col min="8434" max="8434" width="28.5703125" style="1" customWidth="1"/>
    <col min="8435" max="8663" width="9.140625" style="1"/>
    <col min="8664" max="8664" width="11.42578125" style="1" customWidth="1"/>
    <col min="8665" max="8665" width="25.140625" style="1" customWidth="1"/>
    <col min="8666" max="8666" width="42.7109375" style="1" customWidth="1"/>
    <col min="8667" max="8667" width="9.28515625" style="1" customWidth="1"/>
    <col min="8668" max="8668" width="13.85546875" style="1" customWidth="1"/>
    <col min="8669" max="8669" width="10.42578125" style="1" customWidth="1"/>
    <col min="8670" max="8670" width="16.7109375" style="1" customWidth="1"/>
    <col min="8671" max="8671" width="16.28515625" style="1" customWidth="1"/>
    <col min="8672" max="8672" width="14.42578125" style="1" customWidth="1"/>
    <col min="8673" max="8673" width="14.85546875" style="1" customWidth="1"/>
    <col min="8674" max="8674" width="13" style="1" customWidth="1"/>
    <col min="8675" max="8675" width="18.7109375" style="1" customWidth="1"/>
    <col min="8676" max="8676" width="6" style="1" customWidth="1"/>
    <col min="8677" max="8677" width="15.28515625" style="1" customWidth="1"/>
    <col min="8678" max="8678" width="28" style="1" customWidth="1"/>
    <col min="8679" max="8679" width="13.5703125" style="1" customWidth="1"/>
    <col min="8680" max="8680" width="15.5703125" style="1" customWidth="1"/>
    <col min="8681" max="8681" width="8.85546875" style="1" customWidth="1"/>
    <col min="8682" max="8682" width="15.28515625" style="1" customWidth="1"/>
    <col min="8683" max="8683" width="15.7109375" style="1" customWidth="1"/>
    <col min="8684" max="8686" width="17.140625" style="1" customWidth="1"/>
    <col min="8687" max="8687" width="35.7109375" style="1" customWidth="1"/>
    <col min="8688" max="8688" width="28.5703125" style="1" customWidth="1"/>
    <col min="8689" max="8689" width="17.140625" style="1" customWidth="1"/>
    <col min="8690" max="8690" width="28.5703125" style="1" customWidth="1"/>
    <col min="8691" max="8919" width="9.140625" style="1"/>
    <col min="8920" max="8920" width="11.42578125" style="1" customWidth="1"/>
    <col min="8921" max="8921" width="25.140625" style="1" customWidth="1"/>
    <col min="8922" max="8922" width="42.7109375" style="1" customWidth="1"/>
    <col min="8923" max="8923" width="9.28515625" style="1" customWidth="1"/>
    <col min="8924" max="8924" width="13.85546875" style="1" customWidth="1"/>
    <col min="8925" max="8925" width="10.42578125" style="1" customWidth="1"/>
    <col min="8926" max="8926" width="16.7109375" style="1" customWidth="1"/>
    <col min="8927" max="8927" width="16.28515625" style="1" customWidth="1"/>
    <col min="8928" max="8928" width="14.42578125" style="1" customWidth="1"/>
    <col min="8929" max="8929" width="14.85546875" style="1" customWidth="1"/>
    <col min="8930" max="8930" width="13" style="1" customWidth="1"/>
    <col min="8931" max="8931" width="18.7109375" style="1" customWidth="1"/>
    <col min="8932" max="8932" width="6" style="1" customWidth="1"/>
    <col min="8933" max="8933" width="15.28515625" style="1" customWidth="1"/>
    <col min="8934" max="8934" width="28" style="1" customWidth="1"/>
    <col min="8935" max="8935" width="13.5703125" style="1" customWidth="1"/>
    <col min="8936" max="8936" width="15.5703125" style="1" customWidth="1"/>
    <col min="8937" max="8937" width="8.85546875" style="1" customWidth="1"/>
    <col min="8938" max="8938" width="15.28515625" style="1" customWidth="1"/>
    <col min="8939" max="8939" width="15.7109375" style="1" customWidth="1"/>
    <col min="8940" max="8942" width="17.140625" style="1" customWidth="1"/>
    <col min="8943" max="8943" width="35.7109375" style="1" customWidth="1"/>
    <col min="8944" max="8944" width="28.5703125" style="1" customWidth="1"/>
    <col min="8945" max="8945" width="17.140625" style="1" customWidth="1"/>
    <col min="8946" max="8946" width="28.5703125" style="1" customWidth="1"/>
    <col min="8947" max="9175" width="9.140625" style="1"/>
    <col min="9176" max="9176" width="11.42578125" style="1" customWidth="1"/>
    <col min="9177" max="9177" width="25.140625" style="1" customWidth="1"/>
    <col min="9178" max="9178" width="42.7109375" style="1" customWidth="1"/>
    <col min="9179" max="9179" width="9.28515625" style="1" customWidth="1"/>
    <col min="9180" max="9180" width="13.85546875" style="1" customWidth="1"/>
    <col min="9181" max="9181" width="10.42578125" style="1" customWidth="1"/>
    <col min="9182" max="9182" width="16.7109375" style="1" customWidth="1"/>
    <col min="9183" max="9183" width="16.28515625" style="1" customWidth="1"/>
    <col min="9184" max="9184" width="14.42578125" style="1" customWidth="1"/>
    <col min="9185" max="9185" width="14.85546875" style="1" customWidth="1"/>
    <col min="9186" max="9186" width="13" style="1" customWidth="1"/>
    <col min="9187" max="9187" width="18.7109375" style="1" customWidth="1"/>
    <col min="9188" max="9188" width="6" style="1" customWidth="1"/>
    <col min="9189" max="9189" width="15.28515625" style="1" customWidth="1"/>
    <col min="9190" max="9190" width="28" style="1" customWidth="1"/>
    <col min="9191" max="9191" width="13.5703125" style="1" customWidth="1"/>
    <col min="9192" max="9192" width="15.5703125" style="1" customWidth="1"/>
    <col min="9193" max="9193" width="8.85546875" style="1" customWidth="1"/>
    <col min="9194" max="9194" width="15.28515625" style="1" customWidth="1"/>
    <col min="9195" max="9195" width="15.7109375" style="1" customWidth="1"/>
    <col min="9196" max="9198" width="17.140625" style="1" customWidth="1"/>
    <col min="9199" max="9199" width="35.7109375" style="1" customWidth="1"/>
    <col min="9200" max="9200" width="28.5703125" style="1" customWidth="1"/>
    <col min="9201" max="9201" width="17.140625" style="1" customWidth="1"/>
    <col min="9202" max="9202" width="28.5703125" style="1" customWidth="1"/>
    <col min="9203" max="9431" width="9.140625" style="1"/>
    <col min="9432" max="9432" width="11.42578125" style="1" customWidth="1"/>
    <col min="9433" max="9433" width="25.140625" style="1" customWidth="1"/>
    <col min="9434" max="9434" width="42.7109375" style="1" customWidth="1"/>
    <col min="9435" max="9435" width="9.28515625" style="1" customWidth="1"/>
    <col min="9436" max="9436" width="13.85546875" style="1" customWidth="1"/>
    <col min="9437" max="9437" width="10.42578125" style="1" customWidth="1"/>
    <col min="9438" max="9438" width="16.7109375" style="1" customWidth="1"/>
    <col min="9439" max="9439" width="16.28515625" style="1" customWidth="1"/>
    <col min="9440" max="9440" width="14.42578125" style="1" customWidth="1"/>
    <col min="9441" max="9441" width="14.85546875" style="1" customWidth="1"/>
    <col min="9442" max="9442" width="13" style="1" customWidth="1"/>
    <col min="9443" max="9443" width="18.7109375" style="1" customWidth="1"/>
    <col min="9444" max="9444" width="6" style="1" customWidth="1"/>
    <col min="9445" max="9445" width="15.28515625" style="1" customWidth="1"/>
    <col min="9446" max="9446" width="28" style="1" customWidth="1"/>
    <col min="9447" max="9447" width="13.5703125" style="1" customWidth="1"/>
    <col min="9448" max="9448" width="15.5703125" style="1" customWidth="1"/>
    <col min="9449" max="9449" width="8.85546875" style="1" customWidth="1"/>
    <col min="9450" max="9450" width="15.28515625" style="1" customWidth="1"/>
    <col min="9451" max="9451" width="15.7109375" style="1" customWidth="1"/>
    <col min="9452" max="9454" width="17.140625" style="1" customWidth="1"/>
    <col min="9455" max="9455" width="35.7109375" style="1" customWidth="1"/>
    <col min="9456" max="9456" width="28.5703125" style="1" customWidth="1"/>
    <col min="9457" max="9457" width="17.140625" style="1" customWidth="1"/>
    <col min="9458" max="9458" width="28.5703125" style="1" customWidth="1"/>
    <col min="9459" max="9687" width="9.140625" style="1"/>
    <col min="9688" max="9688" width="11.42578125" style="1" customWidth="1"/>
    <col min="9689" max="9689" width="25.140625" style="1" customWidth="1"/>
    <col min="9690" max="9690" width="42.7109375" style="1" customWidth="1"/>
    <col min="9691" max="9691" width="9.28515625" style="1" customWidth="1"/>
    <col min="9692" max="9692" width="13.85546875" style="1" customWidth="1"/>
    <col min="9693" max="9693" width="10.42578125" style="1" customWidth="1"/>
    <col min="9694" max="9694" width="16.7109375" style="1" customWidth="1"/>
    <col min="9695" max="9695" width="16.28515625" style="1" customWidth="1"/>
    <col min="9696" max="9696" width="14.42578125" style="1" customWidth="1"/>
    <col min="9697" max="9697" width="14.85546875" style="1" customWidth="1"/>
    <col min="9698" max="9698" width="13" style="1" customWidth="1"/>
    <col min="9699" max="9699" width="18.7109375" style="1" customWidth="1"/>
    <col min="9700" max="9700" width="6" style="1" customWidth="1"/>
    <col min="9701" max="9701" width="15.28515625" style="1" customWidth="1"/>
    <col min="9702" max="9702" width="28" style="1" customWidth="1"/>
    <col min="9703" max="9703" width="13.5703125" style="1" customWidth="1"/>
    <col min="9704" max="9704" width="15.5703125" style="1" customWidth="1"/>
    <col min="9705" max="9705" width="8.85546875" style="1" customWidth="1"/>
    <col min="9706" max="9706" width="15.28515625" style="1" customWidth="1"/>
    <col min="9707" max="9707" width="15.7109375" style="1" customWidth="1"/>
    <col min="9708" max="9710" width="17.140625" style="1" customWidth="1"/>
    <col min="9711" max="9711" width="35.7109375" style="1" customWidth="1"/>
    <col min="9712" max="9712" width="28.5703125" style="1" customWidth="1"/>
    <col min="9713" max="9713" width="17.140625" style="1" customWidth="1"/>
    <col min="9714" max="9714" width="28.5703125" style="1" customWidth="1"/>
    <col min="9715" max="9943" width="9.140625" style="1"/>
    <col min="9944" max="9944" width="11.42578125" style="1" customWidth="1"/>
    <col min="9945" max="9945" width="25.140625" style="1" customWidth="1"/>
    <col min="9946" max="9946" width="42.7109375" style="1" customWidth="1"/>
    <col min="9947" max="9947" width="9.28515625" style="1" customWidth="1"/>
    <col min="9948" max="9948" width="13.85546875" style="1" customWidth="1"/>
    <col min="9949" max="9949" width="10.42578125" style="1" customWidth="1"/>
    <col min="9950" max="9950" width="16.7109375" style="1" customWidth="1"/>
    <col min="9951" max="9951" width="16.28515625" style="1" customWidth="1"/>
    <col min="9952" max="9952" width="14.42578125" style="1" customWidth="1"/>
    <col min="9953" max="9953" width="14.85546875" style="1" customWidth="1"/>
    <col min="9954" max="9954" width="13" style="1" customWidth="1"/>
    <col min="9955" max="9955" width="18.7109375" style="1" customWidth="1"/>
    <col min="9956" max="9956" width="6" style="1" customWidth="1"/>
    <col min="9957" max="9957" width="15.28515625" style="1" customWidth="1"/>
    <col min="9958" max="9958" width="28" style="1" customWidth="1"/>
    <col min="9959" max="9959" width="13.5703125" style="1" customWidth="1"/>
    <col min="9960" max="9960" width="15.5703125" style="1" customWidth="1"/>
    <col min="9961" max="9961" width="8.85546875" style="1" customWidth="1"/>
    <col min="9962" max="9962" width="15.28515625" style="1" customWidth="1"/>
    <col min="9963" max="9963" width="15.7109375" style="1" customWidth="1"/>
    <col min="9964" max="9966" width="17.140625" style="1" customWidth="1"/>
    <col min="9967" max="9967" width="35.7109375" style="1" customWidth="1"/>
    <col min="9968" max="9968" width="28.5703125" style="1" customWidth="1"/>
    <col min="9969" max="9969" width="17.140625" style="1" customWidth="1"/>
    <col min="9970" max="9970" width="28.5703125" style="1" customWidth="1"/>
    <col min="9971" max="10199" width="9.140625" style="1"/>
    <col min="10200" max="10200" width="11.42578125" style="1" customWidth="1"/>
    <col min="10201" max="10201" width="25.140625" style="1" customWidth="1"/>
    <col min="10202" max="10202" width="42.7109375" style="1" customWidth="1"/>
    <col min="10203" max="10203" width="9.28515625" style="1" customWidth="1"/>
    <col min="10204" max="10204" width="13.85546875" style="1" customWidth="1"/>
    <col min="10205" max="10205" width="10.42578125" style="1" customWidth="1"/>
    <col min="10206" max="10206" width="16.7109375" style="1" customWidth="1"/>
    <col min="10207" max="10207" width="16.28515625" style="1" customWidth="1"/>
    <col min="10208" max="10208" width="14.42578125" style="1" customWidth="1"/>
    <col min="10209" max="10209" width="14.85546875" style="1" customWidth="1"/>
    <col min="10210" max="10210" width="13" style="1" customWidth="1"/>
    <col min="10211" max="10211" width="18.7109375" style="1" customWidth="1"/>
    <col min="10212" max="10212" width="6" style="1" customWidth="1"/>
    <col min="10213" max="10213" width="15.28515625" style="1" customWidth="1"/>
    <col min="10214" max="10214" width="28" style="1" customWidth="1"/>
    <col min="10215" max="10215" width="13.5703125" style="1" customWidth="1"/>
    <col min="10216" max="10216" width="15.5703125" style="1" customWidth="1"/>
    <col min="10217" max="10217" width="8.85546875" style="1" customWidth="1"/>
    <col min="10218" max="10218" width="15.28515625" style="1" customWidth="1"/>
    <col min="10219" max="10219" width="15.7109375" style="1" customWidth="1"/>
    <col min="10220" max="10222" width="17.140625" style="1" customWidth="1"/>
    <col min="10223" max="10223" width="35.7109375" style="1" customWidth="1"/>
    <col min="10224" max="10224" width="28.5703125" style="1" customWidth="1"/>
    <col min="10225" max="10225" width="17.140625" style="1" customWidth="1"/>
    <col min="10226" max="10226" width="28.5703125" style="1" customWidth="1"/>
    <col min="10227" max="10455" width="9.140625" style="1"/>
    <col min="10456" max="10456" width="11.42578125" style="1" customWidth="1"/>
    <col min="10457" max="10457" width="25.140625" style="1" customWidth="1"/>
    <col min="10458" max="10458" width="42.7109375" style="1" customWidth="1"/>
    <col min="10459" max="10459" width="9.28515625" style="1" customWidth="1"/>
    <col min="10460" max="10460" width="13.85546875" style="1" customWidth="1"/>
    <col min="10461" max="10461" width="10.42578125" style="1" customWidth="1"/>
    <col min="10462" max="10462" width="16.7109375" style="1" customWidth="1"/>
    <col min="10463" max="10463" width="16.28515625" style="1" customWidth="1"/>
    <col min="10464" max="10464" width="14.42578125" style="1" customWidth="1"/>
    <col min="10465" max="10465" width="14.85546875" style="1" customWidth="1"/>
    <col min="10466" max="10466" width="13" style="1" customWidth="1"/>
    <col min="10467" max="10467" width="18.7109375" style="1" customWidth="1"/>
    <col min="10468" max="10468" width="6" style="1" customWidth="1"/>
    <col min="10469" max="10469" width="15.28515625" style="1" customWidth="1"/>
    <col min="10470" max="10470" width="28" style="1" customWidth="1"/>
    <col min="10471" max="10471" width="13.5703125" style="1" customWidth="1"/>
    <col min="10472" max="10472" width="15.5703125" style="1" customWidth="1"/>
    <col min="10473" max="10473" width="8.85546875" style="1" customWidth="1"/>
    <col min="10474" max="10474" width="15.28515625" style="1" customWidth="1"/>
    <col min="10475" max="10475" width="15.7109375" style="1" customWidth="1"/>
    <col min="10476" max="10478" width="17.140625" style="1" customWidth="1"/>
    <col min="10479" max="10479" width="35.7109375" style="1" customWidth="1"/>
    <col min="10480" max="10480" width="28.5703125" style="1" customWidth="1"/>
    <col min="10481" max="10481" width="17.140625" style="1" customWidth="1"/>
    <col min="10482" max="10482" width="28.5703125" style="1" customWidth="1"/>
    <col min="10483" max="10711" width="9.140625" style="1"/>
    <col min="10712" max="10712" width="11.42578125" style="1" customWidth="1"/>
    <col min="10713" max="10713" width="25.140625" style="1" customWidth="1"/>
    <col min="10714" max="10714" width="42.7109375" style="1" customWidth="1"/>
    <col min="10715" max="10715" width="9.28515625" style="1" customWidth="1"/>
    <col min="10716" max="10716" width="13.85546875" style="1" customWidth="1"/>
    <col min="10717" max="10717" width="10.42578125" style="1" customWidth="1"/>
    <col min="10718" max="10718" width="16.7109375" style="1" customWidth="1"/>
    <col min="10719" max="10719" width="16.28515625" style="1" customWidth="1"/>
    <col min="10720" max="10720" width="14.42578125" style="1" customWidth="1"/>
    <col min="10721" max="10721" width="14.85546875" style="1" customWidth="1"/>
    <col min="10722" max="10722" width="13" style="1" customWidth="1"/>
    <col min="10723" max="10723" width="18.7109375" style="1" customWidth="1"/>
    <col min="10724" max="10724" width="6" style="1" customWidth="1"/>
    <col min="10725" max="10725" width="15.28515625" style="1" customWidth="1"/>
    <col min="10726" max="10726" width="28" style="1" customWidth="1"/>
    <col min="10727" max="10727" width="13.5703125" style="1" customWidth="1"/>
    <col min="10728" max="10728" width="15.5703125" style="1" customWidth="1"/>
    <col min="10729" max="10729" width="8.85546875" style="1" customWidth="1"/>
    <col min="10730" max="10730" width="15.28515625" style="1" customWidth="1"/>
    <col min="10731" max="10731" width="15.7109375" style="1" customWidth="1"/>
    <col min="10732" max="10734" width="17.140625" style="1" customWidth="1"/>
    <col min="10735" max="10735" width="35.7109375" style="1" customWidth="1"/>
    <col min="10736" max="10736" width="28.5703125" style="1" customWidth="1"/>
    <col min="10737" max="10737" width="17.140625" style="1" customWidth="1"/>
    <col min="10738" max="10738" width="28.5703125" style="1" customWidth="1"/>
    <col min="10739" max="10967" width="9.140625" style="1"/>
    <col min="10968" max="10968" width="11.42578125" style="1" customWidth="1"/>
    <col min="10969" max="10969" width="25.140625" style="1" customWidth="1"/>
    <col min="10970" max="10970" width="42.7109375" style="1" customWidth="1"/>
    <col min="10971" max="10971" width="9.28515625" style="1" customWidth="1"/>
    <col min="10972" max="10972" width="13.85546875" style="1" customWidth="1"/>
    <col min="10973" max="10973" width="10.42578125" style="1" customWidth="1"/>
    <col min="10974" max="10974" width="16.7109375" style="1" customWidth="1"/>
    <col min="10975" max="10975" width="16.28515625" style="1" customWidth="1"/>
    <col min="10976" max="10976" width="14.42578125" style="1" customWidth="1"/>
    <col min="10977" max="10977" width="14.85546875" style="1" customWidth="1"/>
    <col min="10978" max="10978" width="13" style="1" customWidth="1"/>
    <col min="10979" max="10979" width="18.7109375" style="1" customWidth="1"/>
    <col min="10980" max="10980" width="6" style="1" customWidth="1"/>
    <col min="10981" max="10981" width="15.28515625" style="1" customWidth="1"/>
    <col min="10982" max="10982" width="28" style="1" customWidth="1"/>
    <col min="10983" max="10983" width="13.5703125" style="1" customWidth="1"/>
    <col min="10984" max="10984" width="15.5703125" style="1" customWidth="1"/>
    <col min="10985" max="10985" width="8.85546875" style="1" customWidth="1"/>
    <col min="10986" max="10986" width="15.28515625" style="1" customWidth="1"/>
    <col min="10987" max="10987" width="15.7109375" style="1" customWidth="1"/>
    <col min="10988" max="10990" width="17.140625" style="1" customWidth="1"/>
    <col min="10991" max="10991" width="35.7109375" style="1" customWidth="1"/>
    <col min="10992" max="10992" width="28.5703125" style="1" customWidth="1"/>
    <col min="10993" max="10993" width="17.140625" style="1" customWidth="1"/>
    <col min="10994" max="10994" width="28.5703125" style="1" customWidth="1"/>
    <col min="10995" max="11223" width="9.140625" style="1"/>
    <col min="11224" max="11224" width="11.42578125" style="1" customWidth="1"/>
    <col min="11225" max="11225" width="25.140625" style="1" customWidth="1"/>
    <col min="11226" max="11226" width="42.7109375" style="1" customWidth="1"/>
    <col min="11227" max="11227" width="9.28515625" style="1" customWidth="1"/>
    <col min="11228" max="11228" width="13.85546875" style="1" customWidth="1"/>
    <col min="11229" max="11229" width="10.42578125" style="1" customWidth="1"/>
    <col min="11230" max="11230" width="16.7109375" style="1" customWidth="1"/>
    <col min="11231" max="11231" width="16.28515625" style="1" customWidth="1"/>
    <col min="11232" max="11232" width="14.42578125" style="1" customWidth="1"/>
    <col min="11233" max="11233" width="14.85546875" style="1" customWidth="1"/>
    <col min="11234" max="11234" width="13" style="1" customWidth="1"/>
    <col min="11235" max="11235" width="18.7109375" style="1" customWidth="1"/>
    <col min="11236" max="11236" width="6" style="1" customWidth="1"/>
    <col min="11237" max="11237" width="15.28515625" style="1" customWidth="1"/>
    <col min="11238" max="11238" width="28" style="1" customWidth="1"/>
    <col min="11239" max="11239" width="13.5703125" style="1" customWidth="1"/>
    <col min="11240" max="11240" width="15.5703125" style="1" customWidth="1"/>
    <col min="11241" max="11241" width="8.85546875" style="1" customWidth="1"/>
    <col min="11242" max="11242" width="15.28515625" style="1" customWidth="1"/>
    <col min="11243" max="11243" width="15.7109375" style="1" customWidth="1"/>
    <col min="11244" max="11246" width="17.140625" style="1" customWidth="1"/>
    <col min="11247" max="11247" width="35.7109375" style="1" customWidth="1"/>
    <col min="11248" max="11248" width="28.5703125" style="1" customWidth="1"/>
    <col min="11249" max="11249" width="17.140625" style="1" customWidth="1"/>
    <col min="11250" max="11250" width="28.5703125" style="1" customWidth="1"/>
    <col min="11251" max="11479" width="9.140625" style="1"/>
    <col min="11480" max="11480" width="11.42578125" style="1" customWidth="1"/>
    <col min="11481" max="11481" width="25.140625" style="1" customWidth="1"/>
    <col min="11482" max="11482" width="42.7109375" style="1" customWidth="1"/>
    <col min="11483" max="11483" width="9.28515625" style="1" customWidth="1"/>
    <col min="11484" max="11484" width="13.85546875" style="1" customWidth="1"/>
    <col min="11485" max="11485" width="10.42578125" style="1" customWidth="1"/>
    <col min="11486" max="11486" width="16.7109375" style="1" customWidth="1"/>
    <col min="11487" max="11487" width="16.28515625" style="1" customWidth="1"/>
    <col min="11488" max="11488" width="14.42578125" style="1" customWidth="1"/>
    <col min="11489" max="11489" width="14.85546875" style="1" customWidth="1"/>
    <col min="11490" max="11490" width="13" style="1" customWidth="1"/>
    <col min="11491" max="11491" width="18.7109375" style="1" customWidth="1"/>
    <col min="11492" max="11492" width="6" style="1" customWidth="1"/>
    <col min="11493" max="11493" width="15.28515625" style="1" customWidth="1"/>
    <col min="11494" max="11494" width="28" style="1" customWidth="1"/>
    <col min="11495" max="11495" width="13.5703125" style="1" customWidth="1"/>
    <col min="11496" max="11496" width="15.5703125" style="1" customWidth="1"/>
    <col min="11497" max="11497" width="8.85546875" style="1" customWidth="1"/>
    <col min="11498" max="11498" width="15.28515625" style="1" customWidth="1"/>
    <col min="11499" max="11499" width="15.7109375" style="1" customWidth="1"/>
    <col min="11500" max="11502" width="17.140625" style="1" customWidth="1"/>
    <col min="11503" max="11503" width="35.7109375" style="1" customWidth="1"/>
    <col min="11504" max="11504" width="28.5703125" style="1" customWidth="1"/>
    <col min="11505" max="11505" width="17.140625" style="1" customWidth="1"/>
    <col min="11506" max="11506" width="28.5703125" style="1" customWidth="1"/>
    <col min="11507" max="11735" width="9.140625" style="1"/>
    <col min="11736" max="11736" width="11.42578125" style="1" customWidth="1"/>
    <col min="11737" max="11737" width="25.140625" style="1" customWidth="1"/>
    <col min="11738" max="11738" width="42.7109375" style="1" customWidth="1"/>
    <col min="11739" max="11739" width="9.28515625" style="1" customWidth="1"/>
    <col min="11740" max="11740" width="13.85546875" style="1" customWidth="1"/>
    <col min="11741" max="11741" width="10.42578125" style="1" customWidth="1"/>
    <col min="11742" max="11742" width="16.7109375" style="1" customWidth="1"/>
    <col min="11743" max="11743" width="16.28515625" style="1" customWidth="1"/>
    <col min="11744" max="11744" width="14.42578125" style="1" customWidth="1"/>
    <col min="11745" max="11745" width="14.85546875" style="1" customWidth="1"/>
    <col min="11746" max="11746" width="13" style="1" customWidth="1"/>
    <col min="11747" max="11747" width="18.7109375" style="1" customWidth="1"/>
    <col min="11748" max="11748" width="6" style="1" customWidth="1"/>
    <col min="11749" max="11749" width="15.28515625" style="1" customWidth="1"/>
    <col min="11750" max="11750" width="28" style="1" customWidth="1"/>
    <col min="11751" max="11751" width="13.5703125" style="1" customWidth="1"/>
    <col min="11752" max="11752" width="15.5703125" style="1" customWidth="1"/>
    <col min="11753" max="11753" width="8.85546875" style="1" customWidth="1"/>
    <col min="11754" max="11754" width="15.28515625" style="1" customWidth="1"/>
    <col min="11755" max="11755" width="15.7109375" style="1" customWidth="1"/>
    <col min="11756" max="11758" width="17.140625" style="1" customWidth="1"/>
    <col min="11759" max="11759" width="35.7109375" style="1" customWidth="1"/>
    <col min="11760" max="11760" width="28.5703125" style="1" customWidth="1"/>
    <col min="11761" max="11761" width="17.140625" style="1" customWidth="1"/>
    <col min="11762" max="11762" width="28.5703125" style="1" customWidth="1"/>
    <col min="11763" max="11991" width="9.140625" style="1"/>
    <col min="11992" max="11992" width="11.42578125" style="1" customWidth="1"/>
    <col min="11993" max="11993" width="25.140625" style="1" customWidth="1"/>
    <col min="11994" max="11994" width="42.7109375" style="1" customWidth="1"/>
    <col min="11995" max="11995" width="9.28515625" style="1" customWidth="1"/>
    <col min="11996" max="11996" width="13.85546875" style="1" customWidth="1"/>
    <col min="11997" max="11997" width="10.42578125" style="1" customWidth="1"/>
    <col min="11998" max="11998" width="16.7109375" style="1" customWidth="1"/>
    <col min="11999" max="11999" width="16.28515625" style="1" customWidth="1"/>
    <col min="12000" max="12000" width="14.42578125" style="1" customWidth="1"/>
    <col min="12001" max="12001" width="14.85546875" style="1" customWidth="1"/>
    <col min="12002" max="12002" width="13" style="1" customWidth="1"/>
    <col min="12003" max="12003" width="18.7109375" style="1" customWidth="1"/>
    <col min="12004" max="12004" width="6" style="1" customWidth="1"/>
    <col min="12005" max="12005" width="15.28515625" style="1" customWidth="1"/>
    <col min="12006" max="12006" width="28" style="1" customWidth="1"/>
    <col min="12007" max="12007" width="13.5703125" style="1" customWidth="1"/>
    <col min="12008" max="12008" width="15.5703125" style="1" customWidth="1"/>
    <col min="12009" max="12009" width="8.85546875" style="1" customWidth="1"/>
    <col min="12010" max="12010" width="15.28515625" style="1" customWidth="1"/>
    <col min="12011" max="12011" width="15.7109375" style="1" customWidth="1"/>
    <col min="12012" max="12014" width="17.140625" style="1" customWidth="1"/>
    <col min="12015" max="12015" width="35.7109375" style="1" customWidth="1"/>
    <col min="12016" max="12016" width="28.5703125" style="1" customWidth="1"/>
    <col min="12017" max="12017" width="17.140625" style="1" customWidth="1"/>
    <col min="12018" max="12018" width="28.5703125" style="1" customWidth="1"/>
    <col min="12019" max="12247" width="9.140625" style="1"/>
    <col min="12248" max="12248" width="11.42578125" style="1" customWidth="1"/>
    <col min="12249" max="12249" width="25.140625" style="1" customWidth="1"/>
    <col min="12250" max="12250" width="42.7109375" style="1" customWidth="1"/>
    <col min="12251" max="12251" width="9.28515625" style="1" customWidth="1"/>
    <col min="12252" max="12252" width="13.85546875" style="1" customWidth="1"/>
    <col min="12253" max="12253" width="10.42578125" style="1" customWidth="1"/>
    <col min="12254" max="12254" width="16.7109375" style="1" customWidth="1"/>
    <col min="12255" max="12255" width="16.28515625" style="1" customWidth="1"/>
    <col min="12256" max="12256" width="14.42578125" style="1" customWidth="1"/>
    <col min="12257" max="12257" width="14.85546875" style="1" customWidth="1"/>
    <col min="12258" max="12258" width="13" style="1" customWidth="1"/>
    <col min="12259" max="12259" width="18.7109375" style="1" customWidth="1"/>
    <col min="12260" max="12260" width="6" style="1" customWidth="1"/>
    <col min="12261" max="12261" width="15.28515625" style="1" customWidth="1"/>
    <col min="12262" max="12262" width="28" style="1" customWidth="1"/>
    <col min="12263" max="12263" width="13.5703125" style="1" customWidth="1"/>
    <col min="12264" max="12264" width="15.5703125" style="1" customWidth="1"/>
    <col min="12265" max="12265" width="8.85546875" style="1" customWidth="1"/>
    <col min="12266" max="12266" width="15.28515625" style="1" customWidth="1"/>
    <col min="12267" max="12267" width="15.7109375" style="1" customWidth="1"/>
    <col min="12268" max="12270" width="17.140625" style="1" customWidth="1"/>
    <col min="12271" max="12271" width="35.7109375" style="1" customWidth="1"/>
    <col min="12272" max="12272" width="28.5703125" style="1" customWidth="1"/>
    <col min="12273" max="12273" width="17.140625" style="1" customWidth="1"/>
    <col min="12274" max="12274" width="28.5703125" style="1" customWidth="1"/>
    <col min="12275" max="12503" width="9.140625" style="1"/>
    <col min="12504" max="12504" width="11.42578125" style="1" customWidth="1"/>
    <col min="12505" max="12505" width="25.140625" style="1" customWidth="1"/>
    <col min="12506" max="12506" width="42.7109375" style="1" customWidth="1"/>
    <col min="12507" max="12507" width="9.28515625" style="1" customWidth="1"/>
    <col min="12508" max="12508" width="13.85546875" style="1" customWidth="1"/>
    <col min="12509" max="12509" width="10.42578125" style="1" customWidth="1"/>
    <col min="12510" max="12510" width="16.7109375" style="1" customWidth="1"/>
    <col min="12511" max="12511" width="16.28515625" style="1" customWidth="1"/>
    <col min="12512" max="12512" width="14.42578125" style="1" customWidth="1"/>
    <col min="12513" max="12513" width="14.85546875" style="1" customWidth="1"/>
    <col min="12514" max="12514" width="13" style="1" customWidth="1"/>
    <col min="12515" max="12515" width="18.7109375" style="1" customWidth="1"/>
    <col min="12516" max="12516" width="6" style="1" customWidth="1"/>
    <col min="12517" max="12517" width="15.28515625" style="1" customWidth="1"/>
    <col min="12518" max="12518" width="28" style="1" customWidth="1"/>
    <col min="12519" max="12519" width="13.5703125" style="1" customWidth="1"/>
    <col min="12520" max="12520" width="15.5703125" style="1" customWidth="1"/>
    <col min="12521" max="12521" width="8.85546875" style="1" customWidth="1"/>
    <col min="12522" max="12522" width="15.28515625" style="1" customWidth="1"/>
    <col min="12523" max="12523" width="15.7109375" style="1" customWidth="1"/>
    <col min="12524" max="12526" width="17.140625" style="1" customWidth="1"/>
    <col min="12527" max="12527" width="35.7109375" style="1" customWidth="1"/>
    <col min="12528" max="12528" width="28.5703125" style="1" customWidth="1"/>
    <col min="12529" max="12529" width="17.140625" style="1" customWidth="1"/>
    <col min="12530" max="12530" width="28.5703125" style="1" customWidth="1"/>
    <col min="12531" max="12759" width="9.140625" style="1"/>
    <col min="12760" max="12760" width="11.42578125" style="1" customWidth="1"/>
    <col min="12761" max="12761" width="25.140625" style="1" customWidth="1"/>
    <col min="12762" max="12762" width="42.7109375" style="1" customWidth="1"/>
    <col min="12763" max="12763" width="9.28515625" style="1" customWidth="1"/>
    <col min="12764" max="12764" width="13.85546875" style="1" customWidth="1"/>
    <col min="12765" max="12765" width="10.42578125" style="1" customWidth="1"/>
    <col min="12766" max="12766" width="16.7109375" style="1" customWidth="1"/>
    <col min="12767" max="12767" width="16.28515625" style="1" customWidth="1"/>
    <col min="12768" max="12768" width="14.42578125" style="1" customWidth="1"/>
    <col min="12769" max="12769" width="14.85546875" style="1" customWidth="1"/>
    <col min="12770" max="12770" width="13" style="1" customWidth="1"/>
    <col min="12771" max="12771" width="18.7109375" style="1" customWidth="1"/>
    <col min="12772" max="12772" width="6" style="1" customWidth="1"/>
    <col min="12773" max="12773" width="15.28515625" style="1" customWidth="1"/>
    <col min="12774" max="12774" width="28" style="1" customWidth="1"/>
    <col min="12775" max="12775" width="13.5703125" style="1" customWidth="1"/>
    <col min="12776" max="12776" width="15.5703125" style="1" customWidth="1"/>
    <col min="12777" max="12777" width="8.85546875" style="1" customWidth="1"/>
    <col min="12778" max="12778" width="15.28515625" style="1" customWidth="1"/>
    <col min="12779" max="12779" width="15.7109375" style="1" customWidth="1"/>
    <col min="12780" max="12782" width="17.140625" style="1" customWidth="1"/>
    <col min="12783" max="12783" width="35.7109375" style="1" customWidth="1"/>
    <col min="12784" max="12784" width="28.5703125" style="1" customWidth="1"/>
    <col min="12785" max="12785" width="17.140625" style="1" customWidth="1"/>
    <col min="12786" max="12786" width="28.5703125" style="1" customWidth="1"/>
    <col min="12787" max="13015" width="9.140625" style="1"/>
    <col min="13016" max="13016" width="11.42578125" style="1" customWidth="1"/>
    <col min="13017" max="13017" width="25.140625" style="1" customWidth="1"/>
    <col min="13018" max="13018" width="42.7109375" style="1" customWidth="1"/>
    <col min="13019" max="13019" width="9.28515625" style="1" customWidth="1"/>
    <col min="13020" max="13020" width="13.85546875" style="1" customWidth="1"/>
    <col min="13021" max="13021" width="10.42578125" style="1" customWidth="1"/>
    <col min="13022" max="13022" width="16.7109375" style="1" customWidth="1"/>
    <col min="13023" max="13023" width="16.28515625" style="1" customWidth="1"/>
    <col min="13024" max="13024" width="14.42578125" style="1" customWidth="1"/>
    <col min="13025" max="13025" width="14.85546875" style="1" customWidth="1"/>
    <col min="13026" max="13026" width="13" style="1" customWidth="1"/>
    <col min="13027" max="13027" width="18.7109375" style="1" customWidth="1"/>
    <col min="13028" max="13028" width="6" style="1" customWidth="1"/>
    <col min="13029" max="13029" width="15.28515625" style="1" customWidth="1"/>
    <col min="13030" max="13030" width="28" style="1" customWidth="1"/>
    <col min="13031" max="13031" width="13.5703125" style="1" customWidth="1"/>
    <col min="13032" max="13032" width="15.5703125" style="1" customWidth="1"/>
    <col min="13033" max="13033" width="8.85546875" style="1" customWidth="1"/>
    <col min="13034" max="13034" width="15.28515625" style="1" customWidth="1"/>
    <col min="13035" max="13035" width="15.7109375" style="1" customWidth="1"/>
    <col min="13036" max="13038" width="17.140625" style="1" customWidth="1"/>
    <col min="13039" max="13039" width="35.7109375" style="1" customWidth="1"/>
    <col min="13040" max="13040" width="28.5703125" style="1" customWidth="1"/>
    <col min="13041" max="13041" width="17.140625" style="1" customWidth="1"/>
    <col min="13042" max="13042" width="28.5703125" style="1" customWidth="1"/>
    <col min="13043" max="13271" width="9.140625" style="1"/>
    <col min="13272" max="13272" width="11.42578125" style="1" customWidth="1"/>
    <col min="13273" max="13273" width="25.140625" style="1" customWidth="1"/>
    <col min="13274" max="13274" width="42.7109375" style="1" customWidth="1"/>
    <col min="13275" max="13275" width="9.28515625" style="1" customWidth="1"/>
    <col min="13276" max="13276" width="13.85546875" style="1" customWidth="1"/>
    <col min="13277" max="13277" width="10.42578125" style="1" customWidth="1"/>
    <col min="13278" max="13278" width="16.7109375" style="1" customWidth="1"/>
    <col min="13279" max="13279" width="16.28515625" style="1" customWidth="1"/>
    <col min="13280" max="13280" width="14.42578125" style="1" customWidth="1"/>
    <col min="13281" max="13281" width="14.85546875" style="1" customWidth="1"/>
    <col min="13282" max="13282" width="13" style="1" customWidth="1"/>
    <col min="13283" max="13283" width="18.7109375" style="1" customWidth="1"/>
    <col min="13284" max="13284" width="6" style="1" customWidth="1"/>
    <col min="13285" max="13285" width="15.28515625" style="1" customWidth="1"/>
    <col min="13286" max="13286" width="28" style="1" customWidth="1"/>
    <col min="13287" max="13287" width="13.5703125" style="1" customWidth="1"/>
    <col min="13288" max="13288" width="15.5703125" style="1" customWidth="1"/>
    <col min="13289" max="13289" width="8.85546875" style="1" customWidth="1"/>
    <col min="13290" max="13290" width="15.28515625" style="1" customWidth="1"/>
    <col min="13291" max="13291" width="15.7109375" style="1" customWidth="1"/>
    <col min="13292" max="13294" width="17.140625" style="1" customWidth="1"/>
    <col min="13295" max="13295" width="35.7109375" style="1" customWidth="1"/>
    <col min="13296" max="13296" width="28.5703125" style="1" customWidth="1"/>
    <col min="13297" max="13297" width="17.140625" style="1" customWidth="1"/>
    <col min="13298" max="13298" width="28.5703125" style="1" customWidth="1"/>
    <col min="13299" max="13527" width="9.140625" style="1"/>
    <col min="13528" max="13528" width="11.42578125" style="1" customWidth="1"/>
    <col min="13529" max="13529" width="25.140625" style="1" customWidth="1"/>
    <col min="13530" max="13530" width="42.7109375" style="1" customWidth="1"/>
    <col min="13531" max="13531" width="9.28515625" style="1" customWidth="1"/>
    <col min="13532" max="13532" width="13.85546875" style="1" customWidth="1"/>
    <col min="13533" max="13533" width="10.42578125" style="1" customWidth="1"/>
    <col min="13534" max="13534" width="16.7109375" style="1" customWidth="1"/>
    <col min="13535" max="13535" width="16.28515625" style="1" customWidth="1"/>
    <col min="13536" max="13536" width="14.42578125" style="1" customWidth="1"/>
    <col min="13537" max="13537" width="14.85546875" style="1" customWidth="1"/>
    <col min="13538" max="13538" width="13" style="1" customWidth="1"/>
    <col min="13539" max="13539" width="18.7109375" style="1" customWidth="1"/>
    <col min="13540" max="13540" width="6" style="1" customWidth="1"/>
    <col min="13541" max="13541" width="15.28515625" style="1" customWidth="1"/>
    <col min="13542" max="13542" width="28" style="1" customWidth="1"/>
    <col min="13543" max="13543" width="13.5703125" style="1" customWidth="1"/>
    <col min="13544" max="13544" width="15.5703125" style="1" customWidth="1"/>
    <col min="13545" max="13545" width="8.85546875" style="1" customWidth="1"/>
    <col min="13546" max="13546" width="15.28515625" style="1" customWidth="1"/>
    <col min="13547" max="13547" width="15.7109375" style="1" customWidth="1"/>
    <col min="13548" max="13550" width="17.140625" style="1" customWidth="1"/>
    <col min="13551" max="13551" width="35.7109375" style="1" customWidth="1"/>
    <col min="13552" max="13552" width="28.5703125" style="1" customWidth="1"/>
    <col min="13553" max="13553" width="17.140625" style="1" customWidth="1"/>
    <col min="13554" max="13554" width="28.5703125" style="1" customWidth="1"/>
    <col min="13555" max="13783" width="9.140625" style="1"/>
    <col min="13784" max="13784" width="11.42578125" style="1" customWidth="1"/>
    <col min="13785" max="13785" width="25.140625" style="1" customWidth="1"/>
    <col min="13786" max="13786" width="42.7109375" style="1" customWidth="1"/>
    <col min="13787" max="13787" width="9.28515625" style="1" customWidth="1"/>
    <col min="13788" max="13788" width="13.85546875" style="1" customWidth="1"/>
    <col min="13789" max="13789" width="10.42578125" style="1" customWidth="1"/>
    <col min="13790" max="13790" width="16.7109375" style="1" customWidth="1"/>
    <col min="13791" max="13791" width="16.28515625" style="1" customWidth="1"/>
    <col min="13792" max="13792" width="14.42578125" style="1" customWidth="1"/>
    <col min="13793" max="13793" width="14.85546875" style="1" customWidth="1"/>
    <col min="13794" max="13794" width="13" style="1" customWidth="1"/>
    <col min="13795" max="13795" width="18.7109375" style="1" customWidth="1"/>
    <col min="13796" max="13796" width="6" style="1" customWidth="1"/>
    <col min="13797" max="13797" width="15.28515625" style="1" customWidth="1"/>
    <col min="13798" max="13798" width="28" style="1" customWidth="1"/>
    <col min="13799" max="13799" width="13.5703125" style="1" customWidth="1"/>
    <col min="13800" max="13800" width="15.5703125" style="1" customWidth="1"/>
    <col min="13801" max="13801" width="8.85546875" style="1" customWidth="1"/>
    <col min="13802" max="13802" width="15.28515625" style="1" customWidth="1"/>
    <col min="13803" max="13803" width="15.7109375" style="1" customWidth="1"/>
    <col min="13804" max="13806" width="17.140625" style="1" customWidth="1"/>
    <col min="13807" max="13807" width="35.7109375" style="1" customWidth="1"/>
    <col min="13808" max="13808" width="28.5703125" style="1" customWidth="1"/>
    <col min="13809" max="13809" width="17.140625" style="1" customWidth="1"/>
    <col min="13810" max="13810" width="28.5703125" style="1" customWidth="1"/>
    <col min="13811" max="14039" width="9.140625" style="1"/>
    <col min="14040" max="14040" width="11.42578125" style="1" customWidth="1"/>
    <col min="14041" max="14041" width="25.140625" style="1" customWidth="1"/>
    <col min="14042" max="14042" width="42.7109375" style="1" customWidth="1"/>
    <col min="14043" max="14043" width="9.28515625" style="1" customWidth="1"/>
    <col min="14044" max="14044" width="13.85546875" style="1" customWidth="1"/>
    <col min="14045" max="14045" width="10.42578125" style="1" customWidth="1"/>
    <col min="14046" max="14046" width="16.7109375" style="1" customWidth="1"/>
    <col min="14047" max="14047" width="16.28515625" style="1" customWidth="1"/>
    <col min="14048" max="14048" width="14.42578125" style="1" customWidth="1"/>
    <col min="14049" max="14049" width="14.85546875" style="1" customWidth="1"/>
    <col min="14050" max="14050" width="13" style="1" customWidth="1"/>
    <col min="14051" max="14051" width="18.7109375" style="1" customWidth="1"/>
    <col min="14052" max="14052" width="6" style="1" customWidth="1"/>
    <col min="14053" max="14053" width="15.28515625" style="1" customWidth="1"/>
    <col min="14054" max="14054" width="28" style="1" customWidth="1"/>
    <col min="14055" max="14055" width="13.5703125" style="1" customWidth="1"/>
    <col min="14056" max="14056" width="15.5703125" style="1" customWidth="1"/>
    <col min="14057" max="14057" width="8.85546875" style="1" customWidth="1"/>
    <col min="14058" max="14058" width="15.28515625" style="1" customWidth="1"/>
    <col min="14059" max="14059" width="15.7109375" style="1" customWidth="1"/>
    <col min="14060" max="14062" width="17.140625" style="1" customWidth="1"/>
    <col min="14063" max="14063" width="35.7109375" style="1" customWidth="1"/>
    <col min="14064" max="14064" width="28.5703125" style="1" customWidth="1"/>
    <col min="14065" max="14065" width="17.140625" style="1" customWidth="1"/>
    <col min="14066" max="14066" width="28.5703125" style="1" customWidth="1"/>
    <col min="14067" max="14295" width="9.140625" style="1"/>
    <col min="14296" max="14296" width="11.42578125" style="1" customWidth="1"/>
    <col min="14297" max="14297" width="25.140625" style="1" customWidth="1"/>
    <col min="14298" max="14298" width="42.7109375" style="1" customWidth="1"/>
    <col min="14299" max="14299" width="9.28515625" style="1" customWidth="1"/>
    <col min="14300" max="14300" width="13.85546875" style="1" customWidth="1"/>
    <col min="14301" max="14301" width="10.42578125" style="1" customWidth="1"/>
    <col min="14302" max="14302" width="16.7109375" style="1" customWidth="1"/>
    <col min="14303" max="14303" width="16.28515625" style="1" customWidth="1"/>
    <col min="14304" max="14304" width="14.42578125" style="1" customWidth="1"/>
    <col min="14305" max="14305" width="14.85546875" style="1" customWidth="1"/>
    <col min="14306" max="14306" width="13" style="1" customWidth="1"/>
    <col min="14307" max="14307" width="18.7109375" style="1" customWidth="1"/>
    <col min="14308" max="14308" width="6" style="1" customWidth="1"/>
    <col min="14309" max="14309" width="15.28515625" style="1" customWidth="1"/>
    <col min="14310" max="14310" width="28" style="1" customWidth="1"/>
    <col min="14311" max="14311" width="13.5703125" style="1" customWidth="1"/>
    <col min="14312" max="14312" width="15.5703125" style="1" customWidth="1"/>
    <col min="14313" max="14313" width="8.85546875" style="1" customWidth="1"/>
    <col min="14314" max="14314" width="15.28515625" style="1" customWidth="1"/>
    <col min="14315" max="14315" width="15.7109375" style="1" customWidth="1"/>
    <col min="14316" max="14318" width="17.140625" style="1" customWidth="1"/>
    <col min="14319" max="14319" width="35.7109375" style="1" customWidth="1"/>
    <col min="14320" max="14320" width="28.5703125" style="1" customWidth="1"/>
    <col min="14321" max="14321" width="17.140625" style="1" customWidth="1"/>
    <col min="14322" max="14322" width="28.5703125" style="1" customWidth="1"/>
    <col min="14323" max="14551" width="9.140625" style="1"/>
    <col min="14552" max="14552" width="11.42578125" style="1" customWidth="1"/>
    <col min="14553" max="14553" width="25.140625" style="1" customWidth="1"/>
    <col min="14554" max="14554" width="42.7109375" style="1" customWidth="1"/>
    <col min="14555" max="14555" width="9.28515625" style="1" customWidth="1"/>
    <col min="14556" max="14556" width="13.85546875" style="1" customWidth="1"/>
    <col min="14557" max="14557" width="10.42578125" style="1" customWidth="1"/>
    <col min="14558" max="14558" width="16.7109375" style="1" customWidth="1"/>
    <col min="14559" max="14559" width="16.28515625" style="1" customWidth="1"/>
    <col min="14560" max="14560" width="14.42578125" style="1" customWidth="1"/>
    <col min="14561" max="14561" width="14.85546875" style="1" customWidth="1"/>
    <col min="14562" max="14562" width="13" style="1" customWidth="1"/>
    <col min="14563" max="14563" width="18.7109375" style="1" customWidth="1"/>
    <col min="14564" max="14564" width="6" style="1" customWidth="1"/>
    <col min="14565" max="14565" width="15.28515625" style="1" customWidth="1"/>
    <col min="14566" max="14566" width="28" style="1" customWidth="1"/>
    <col min="14567" max="14567" width="13.5703125" style="1" customWidth="1"/>
    <col min="14568" max="14568" width="15.5703125" style="1" customWidth="1"/>
    <col min="14569" max="14569" width="8.85546875" style="1" customWidth="1"/>
    <col min="14570" max="14570" width="15.28515625" style="1" customWidth="1"/>
    <col min="14571" max="14571" width="15.7109375" style="1" customWidth="1"/>
    <col min="14572" max="14574" width="17.140625" style="1" customWidth="1"/>
    <col min="14575" max="14575" width="35.7109375" style="1" customWidth="1"/>
    <col min="14576" max="14576" width="28.5703125" style="1" customWidth="1"/>
    <col min="14577" max="14577" width="17.140625" style="1" customWidth="1"/>
    <col min="14578" max="14578" width="28.5703125" style="1" customWidth="1"/>
    <col min="14579" max="14807" width="9.140625" style="1"/>
    <col min="14808" max="14808" width="11.42578125" style="1" customWidth="1"/>
    <col min="14809" max="14809" width="25.140625" style="1" customWidth="1"/>
    <col min="14810" max="14810" width="42.7109375" style="1" customWidth="1"/>
    <col min="14811" max="14811" width="9.28515625" style="1" customWidth="1"/>
    <col min="14812" max="14812" width="13.85546875" style="1" customWidth="1"/>
    <col min="14813" max="14813" width="10.42578125" style="1" customWidth="1"/>
    <col min="14814" max="14814" width="16.7109375" style="1" customWidth="1"/>
    <col min="14815" max="14815" width="16.28515625" style="1" customWidth="1"/>
    <col min="14816" max="14816" width="14.42578125" style="1" customWidth="1"/>
    <col min="14817" max="14817" width="14.85546875" style="1" customWidth="1"/>
    <col min="14818" max="14818" width="13" style="1" customWidth="1"/>
    <col min="14819" max="14819" width="18.7109375" style="1" customWidth="1"/>
    <col min="14820" max="14820" width="6" style="1" customWidth="1"/>
    <col min="14821" max="14821" width="15.28515625" style="1" customWidth="1"/>
    <col min="14822" max="14822" width="28" style="1" customWidth="1"/>
    <col min="14823" max="14823" width="13.5703125" style="1" customWidth="1"/>
    <col min="14824" max="14824" width="15.5703125" style="1" customWidth="1"/>
    <col min="14825" max="14825" width="8.85546875" style="1" customWidth="1"/>
    <col min="14826" max="14826" width="15.28515625" style="1" customWidth="1"/>
    <col min="14827" max="14827" width="15.7109375" style="1" customWidth="1"/>
    <col min="14828" max="14830" width="17.140625" style="1" customWidth="1"/>
    <col min="14831" max="14831" width="35.7109375" style="1" customWidth="1"/>
    <col min="14832" max="14832" width="28.5703125" style="1" customWidth="1"/>
    <col min="14833" max="14833" width="17.140625" style="1" customWidth="1"/>
    <col min="14834" max="14834" width="28.5703125" style="1" customWidth="1"/>
    <col min="14835" max="15063" width="9.140625" style="1"/>
    <col min="15064" max="15064" width="11.42578125" style="1" customWidth="1"/>
    <col min="15065" max="15065" width="25.140625" style="1" customWidth="1"/>
    <col min="15066" max="15066" width="42.7109375" style="1" customWidth="1"/>
    <col min="15067" max="15067" width="9.28515625" style="1" customWidth="1"/>
    <col min="15068" max="15068" width="13.85546875" style="1" customWidth="1"/>
    <col min="15069" max="15069" width="10.42578125" style="1" customWidth="1"/>
    <col min="15070" max="15070" width="16.7109375" style="1" customWidth="1"/>
    <col min="15071" max="15071" width="16.28515625" style="1" customWidth="1"/>
    <col min="15072" max="15072" width="14.42578125" style="1" customWidth="1"/>
    <col min="15073" max="15073" width="14.85546875" style="1" customWidth="1"/>
    <col min="15074" max="15074" width="13" style="1" customWidth="1"/>
    <col min="15075" max="15075" width="18.7109375" style="1" customWidth="1"/>
    <col min="15076" max="15076" width="6" style="1" customWidth="1"/>
    <col min="15077" max="15077" width="15.28515625" style="1" customWidth="1"/>
    <col min="15078" max="15078" width="28" style="1" customWidth="1"/>
    <col min="15079" max="15079" width="13.5703125" style="1" customWidth="1"/>
    <col min="15080" max="15080" width="15.5703125" style="1" customWidth="1"/>
    <col min="15081" max="15081" width="8.85546875" style="1" customWidth="1"/>
    <col min="15082" max="15082" width="15.28515625" style="1" customWidth="1"/>
    <col min="15083" max="15083" width="15.7109375" style="1" customWidth="1"/>
    <col min="15084" max="15086" width="17.140625" style="1" customWidth="1"/>
    <col min="15087" max="15087" width="35.7109375" style="1" customWidth="1"/>
    <col min="15088" max="15088" width="28.5703125" style="1" customWidth="1"/>
    <col min="15089" max="15089" width="17.140625" style="1" customWidth="1"/>
    <col min="15090" max="15090" width="28.5703125" style="1" customWidth="1"/>
    <col min="15091" max="15319" width="9.140625" style="1"/>
    <col min="15320" max="15320" width="11.42578125" style="1" customWidth="1"/>
    <col min="15321" max="15321" width="25.140625" style="1" customWidth="1"/>
    <col min="15322" max="15322" width="42.7109375" style="1" customWidth="1"/>
    <col min="15323" max="15323" width="9.28515625" style="1" customWidth="1"/>
    <col min="15324" max="15324" width="13.85546875" style="1" customWidth="1"/>
    <col min="15325" max="15325" width="10.42578125" style="1" customWidth="1"/>
    <col min="15326" max="15326" width="16.7109375" style="1" customWidth="1"/>
    <col min="15327" max="15327" width="16.28515625" style="1" customWidth="1"/>
    <col min="15328" max="15328" width="14.42578125" style="1" customWidth="1"/>
    <col min="15329" max="15329" width="14.85546875" style="1" customWidth="1"/>
    <col min="15330" max="15330" width="13" style="1" customWidth="1"/>
    <col min="15331" max="15331" width="18.7109375" style="1" customWidth="1"/>
    <col min="15332" max="15332" width="6" style="1" customWidth="1"/>
    <col min="15333" max="15333" width="15.28515625" style="1" customWidth="1"/>
    <col min="15334" max="15334" width="28" style="1" customWidth="1"/>
    <col min="15335" max="15335" width="13.5703125" style="1" customWidth="1"/>
    <col min="15336" max="15336" width="15.5703125" style="1" customWidth="1"/>
    <col min="15337" max="15337" width="8.85546875" style="1" customWidth="1"/>
    <col min="15338" max="15338" width="15.28515625" style="1" customWidth="1"/>
    <col min="15339" max="15339" width="15.7109375" style="1" customWidth="1"/>
    <col min="15340" max="15342" width="17.140625" style="1" customWidth="1"/>
    <col min="15343" max="15343" width="35.7109375" style="1" customWidth="1"/>
    <col min="15344" max="15344" width="28.5703125" style="1" customWidth="1"/>
    <col min="15345" max="15345" width="17.140625" style="1" customWidth="1"/>
    <col min="15346" max="15346" width="28.5703125" style="1" customWidth="1"/>
    <col min="15347" max="15575" width="9.140625" style="1"/>
    <col min="15576" max="15576" width="11.42578125" style="1" customWidth="1"/>
    <col min="15577" max="15577" width="25.140625" style="1" customWidth="1"/>
    <col min="15578" max="15578" width="42.7109375" style="1" customWidth="1"/>
    <col min="15579" max="15579" width="9.28515625" style="1" customWidth="1"/>
    <col min="15580" max="15580" width="13.85546875" style="1" customWidth="1"/>
    <col min="15581" max="15581" width="10.42578125" style="1" customWidth="1"/>
    <col min="15582" max="15582" width="16.7109375" style="1" customWidth="1"/>
    <col min="15583" max="15583" width="16.28515625" style="1" customWidth="1"/>
    <col min="15584" max="15584" width="14.42578125" style="1" customWidth="1"/>
    <col min="15585" max="15585" width="14.85546875" style="1" customWidth="1"/>
    <col min="15586" max="15586" width="13" style="1" customWidth="1"/>
    <col min="15587" max="15587" width="18.7109375" style="1" customWidth="1"/>
    <col min="15588" max="15588" width="6" style="1" customWidth="1"/>
    <col min="15589" max="15589" width="15.28515625" style="1" customWidth="1"/>
    <col min="15590" max="15590" width="28" style="1" customWidth="1"/>
    <col min="15591" max="15591" width="13.5703125" style="1" customWidth="1"/>
    <col min="15592" max="15592" width="15.5703125" style="1" customWidth="1"/>
    <col min="15593" max="15593" width="8.85546875" style="1" customWidth="1"/>
    <col min="15594" max="15594" width="15.28515625" style="1" customWidth="1"/>
    <col min="15595" max="15595" width="15.7109375" style="1" customWidth="1"/>
    <col min="15596" max="15598" width="17.140625" style="1" customWidth="1"/>
    <col min="15599" max="15599" width="35.7109375" style="1" customWidth="1"/>
    <col min="15600" max="15600" width="28.5703125" style="1" customWidth="1"/>
    <col min="15601" max="15601" width="17.140625" style="1" customWidth="1"/>
    <col min="15602" max="15602" width="28.5703125" style="1" customWidth="1"/>
    <col min="15603" max="15831" width="9.140625" style="1"/>
    <col min="15832" max="15832" width="11.42578125" style="1" customWidth="1"/>
    <col min="15833" max="15833" width="25.140625" style="1" customWidth="1"/>
    <col min="15834" max="15834" width="42.7109375" style="1" customWidth="1"/>
    <col min="15835" max="15835" width="9.28515625" style="1" customWidth="1"/>
    <col min="15836" max="15836" width="13.85546875" style="1" customWidth="1"/>
    <col min="15837" max="15837" width="10.42578125" style="1" customWidth="1"/>
    <col min="15838" max="15838" width="16.7109375" style="1" customWidth="1"/>
    <col min="15839" max="15839" width="16.28515625" style="1" customWidth="1"/>
    <col min="15840" max="15840" width="14.42578125" style="1" customWidth="1"/>
    <col min="15841" max="15841" width="14.85546875" style="1" customWidth="1"/>
    <col min="15842" max="15842" width="13" style="1" customWidth="1"/>
    <col min="15843" max="15843" width="18.7109375" style="1" customWidth="1"/>
    <col min="15844" max="15844" width="6" style="1" customWidth="1"/>
    <col min="15845" max="15845" width="15.28515625" style="1" customWidth="1"/>
    <col min="15846" max="15846" width="28" style="1" customWidth="1"/>
    <col min="15847" max="15847" width="13.5703125" style="1" customWidth="1"/>
    <col min="15848" max="15848" width="15.5703125" style="1" customWidth="1"/>
    <col min="15849" max="15849" width="8.85546875" style="1" customWidth="1"/>
    <col min="15850" max="15850" width="15.28515625" style="1" customWidth="1"/>
    <col min="15851" max="15851" width="15.7109375" style="1" customWidth="1"/>
    <col min="15852" max="15854" width="17.140625" style="1" customWidth="1"/>
    <col min="15855" max="15855" width="35.7109375" style="1" customWidth="1"/>
    <col min="15856" max="15856" width="28.5703125" style="1" customWidth="1"/>
    <col min="15857" max="15857" width="17.140625" style="1" customWidth="1"/>
    <col min="15858" max="15858" width="28.5703125" style="1" customWidth="1"/>
    <col min="15859" max="16087" width="9.140625" style="1"/>
    <col min="16088" max="16088" width="11.42578125" style="1" customWidth="1"/>
    <col min="16089" max="16089" width="25.140625" style="1" customWidth="1"/>
    <col min="16090" max="16090" width="42.7109375" style="1" customWidth="1"/>
    <col min="16091" max="16091" width="9.28515625" style="1" customWidth="1"/>
    <col min="16092" max="16092" width="13.85546875" style="1" customWidth="1"/>
    <col min="16093" max="16093" width="10.42578125" style="1" customWidth="1"/>
    <col min="16094" max="16094" width="16.7109375" style="1" customWidth="1"/>
    <col min="16095" max="16095" width="16.28515625" style="1" customWidth="1"/>
    <col min="16096" max="16096" width="14.42578125" style="1" customWidth="1"/>
    <col min="16097" max="16097" width="14.85546875" style="1" customWidth="1"/>
    <col min="16098" max="16098" width="13" style="1" customWidth="1"/>
    <col min="16099" max="16099" width="18.7109375" style="1" customWidth="1"/>
    <col min="16100" max="16100" width="6" style="1" customWidth="1"/>
    <col min="16101" max="16101" width="15.28515625" style="1" customWidth="1"/>
    <col min="16102" max="16102" width="28" style="1" customWidth="1"/>
    <col min="16103" max="16103" width="13.5703125" style="1" customWidth="1"/>
    <col min="16104" max="16104" width="15.5703125" style="1" customWidth="1"/>
    <col min="16105" max="16105" width="8.85546875" style="1" customWidth="1"/>
    <col min="16106" max="16106" width="15.28515625" style="1" customWidth="1"/>
    <col min="16107" max="16107" width="15.7109375" style="1" customWidth="1"/>
    <col min="16108" max="16110" width="17.140625" style="1" customWidth="1"/>
    <col min="16111" max="16111" width="35.7109375" style="1" customWidth="1"/>
    <col min="16112" max="16112" width="28.5703125" style="1" customWidth="1"/>
    <col min="16113" max="16113" width="17.140625" style="1" customWidth="1"/>
    <col min="16114" max="16114" width="28.5703125" style="1" customWidth="1"/>
    <col min="16115" max="16384" width="9.140625" style="1"/>
  </cols>
  <sheetData>
    <row r="1" spans="2:20" ht="15" thickBot="1" x14ac:dyDescent="0.3"/>
    <row r="2" spans="2:20" s="4" customFormat="1" ht="24.75" customHeight="1" thickBot="1" x14ac:dyDescent="0.25">
      <c r="B2" s="114" t="s">
        <v>22</v>
      </c>
      <c r="C2" s="115"/>
      <c r="D2" s="115"/>
      <c r="E2" s="115"/>
      <c r="F2" s="115"/>
      <c r="G2" s="115"/>
      <c r="H2" s="115"/>
      <c r="I2" s="115"/>
      <c r="J2" s="116"/>
      <c r="K2" s="23"/>
      <c r="L2" s="114" t="s">
        <v>23</v>
      </c>
      <c r="M2" s="115"/>
      <c r="N2" s="115"/>
      <c r="O2" s="115"/>
      <c r="P2" s="115"/>
      <c r="Q2" s="115"/>
      <c r="R2" s="115"/>
      <c r="S2" s="115"/>
      <c r="T2" s="116"/>
    </row>
    <row r="3" spans="2:20" s="4" customFormat="1" ht="8.25" customHeight="1" thickBot="1" x14ac:dyDescent="0.25">
      <c r="B3" s="24"/>
      <c r="C3" s="24"/>
      <c r="D3" s="24"/>
      <c r="E3" s="24"/>
      <c r="F3" s="24"/>
      <c r="G3" s="24"/>
      <c r="H3" s="24"/>
      <c r="I3" s="23"/>
      <c r="J3" s="23"/>
      <c r="K3" s="23"/>
      <c r="L3" s="24"/>
      <c r="M3" s="24"/>
      <c r="N3" s="24"/>
      <c r="O3" s="24"/>
      <c r="P3" s="24"/>
      <c r="Q3" s="24"/>
      <c r="R3" s="23"/>
      <c r="S3" s="23"/>
    </row>
    <row r="4" spans="2:20" s="5" customFormat="1" ht="18" thickBot="1" x14ac:dyDescent="0.25">
      <c r="B4" s="126" t="s">
        <v>8</v>
      </c>
      <c r="C4" s="127"/>
      <c r="D4" s="123"/>
      <c r="E4" s="124"/>
      <c r="F4" s="124"/>
      <c r="G4" s="124"/>
      <c r="H4" s="124"/>
      <c r="I4" s="124"/>
      <c r="J4" s="125"/>
      <c r="L4" s="126" t="s">
        <v>8</v>
      </c>
      <c r="M4" s="132"/>
      <c r="N4" s="135"/>
      <c r="O4" s="136"/>
      <c r="P4" s="136"/>
      <c r="Q4" s="136"/>
      <c r="R4" s="136"/>
      <c r="S4" s="136"/>
      <c r="T4" s="137"/>
    </row>
    <row r="5" spans="2:20" s="6" customFormat="1" ht="18" thickBot="1" x14ac:dyDescent="0.3">
      <c r="B5" s="128" t="s">
        <v>7</v>
      </c>
      <c r="C5" s="129"/>
      <c r="D5" s="120"/>
      <c r="E5" s="121"/>
      <c r="F5" s="121"/>
      <c r="G5" s="121"/>
      <c r="H5" s="121"/>
      <c r="I5" s="121"/>
      <c r="J5" s="122"/>
      <c r="L5" s="128" t="s">
        <v>7</v>
      </c>
      <c r="M5" s="133"/>
      <c r="N5" s="138"/>
      <c r="O5" s="139"/>
      <c r="P5" s="139"/>
      <c r="Q5" s="139"/>
      <c r="R5" s="139"/>
      <c r="S5" s="139"/>
      <c r="T5" s="140"/>
    </row>
    <row r="6" spans="2:20" s="6" customFormat="1" ht="18" thickBot="1" x14ac:dyDescent="0.3">
      <c r="B6" s="128" t="s">
        <v>9</v>
      </c>
      <c r="C6" s="129"/>
      <c r="D6" s="120"/>
      <c r="E6" s="121"/>
      <c r="F6" s="121"/>
      <c r="G6" s="121"/>
      <c r="H6" s="121"/>
      <c r="I6" s="121"/>
      <c r="J6" s="122"/>
      <c r="L6" s="128" t="s">
        <v>9</v>
      </c>
      <c r="M6" s="133"/>
      <c r="N6" s="138"/>
      <c r="O6" s="139"/>
      <c r="P6" s="139"/>
      <c r="Q6" s="139"/>
      <c r="R6" s="139"/>
      <c r="S6" s="139"/>
      <c r="T6" s="140"/>
    </row>
    <row r="7" spans="2:20" s="6" customFormat="1" ht="18" thickBot="1" x14ac:dyDescent="0.3">
      <c r="B7" s="130" t="s">
        <v>0</v>
      </c>
      <c r="C7" s="131"/>
      <c r="D7" s="117"/>
      <c r="E7" s="118"/>
      <c r="F7" s="118"/>
      <c r="G7" s="118"/>
      <c r="H7" s="118"/>
      <c r="I7" s="118"/>
      <c r="J7" s="119"/>
      <c r="L7" s="130" t="s">
        <v>0</v>
      </c>
      <c r="M7" s="134"/>
      <c r="N7" s="138"/>
      <c r="O7" s="139"/>
      <c r="P7" s="139"/>
      <c r="Q7" s="139"/>
      <c r="R7" s="139"/>
      <c r="S7" s="139"/>
      <c r="T7" s="140"/>
    </row>
    <row r="8" spans="2:20" ht="15" thickBot="1" x14ac:dyDescent="0.3">
      <c r="B8" s="3"/>
      <c r="G8" s="7"/>
      <c r="H8" s="7"/>
      <c r="L8" s="3"/>
      <c r="M8" s="3"/>
      <c r="O8" s="2"/>
      <c r="P8" s="57"/>
      <c r="Q8" s="57"/>
    </row>
    <row r="9" spans="2:20" s="8" customFormat="1" ht="42" customHeight="1" thickBot="1" x14ac:dyDescent="0.25">
      <c r="B9" s="19" t="s">
        <v>1</v>
      </c>
      <c r="C9" s="20" t="s">
        <v>2</v>
      </c>
      <c r="D9" s="20" t="s">
        <v>15</v>
      </c>
      <c r="E9" s="20" t="s">
        <v>3</v>
      </c>
      <c r="F9" s="20" t="s">
        <v>4</v>
      </c>
      <c r="G9" s="21" t="s">
        <v>5</v>
      </c>
      <c r="H9" s="21" t="s">
        <v>25</v>
      </c>
      <c r="I9" s="21" t="s">
        <v>16</v>
      </c>
      <c r="J9" s="22" t="s">
        <v>17</v>
      </c>
      <c r="L9" s="62" t="s">
        <v>18</v>
      </c>
      <c r="M9" s="63" t="s">
        <v>15</v>
      </c>
      <c r="N9" s="64" t="s">
        <v>19</v>
      </c>
      <c r="O9" s="65" t="s">
        <v>21</v>
      </c>
      <c r="P9" s="105" t="s">
        <v>39</v>
      </c>
      <c r="Q9" s="66" t="s">
        <v>5</v>
      </c>
      <c r="R9" s="67" t="s">
        <v>6</v>
      </c>
      <c r="S9" s="68" t="s">
        <v>16</v>
      </c>
      <c r="T9" s="69" t="s">
        <v>17</v>
      </c>
    </row>
    <row r="10" spans="2:20" s="8" customFormat="1" ht="15" thickBot="1" x14ac:dyDescent="0.25">
      <c r="B10" s="9"/>
      <c r="C10" s="10"/>
      <c r="D10" s="11"/>
      <c r="E10" s="11"/>
      <c r="F10" s="11"/>
      <c r="G10" s="12"/>
      <c r="H10" s="12">
        <f>Tabella211[[#This Row],[Q.tà]]*Tabella211[[#This Row],[Unitario]]</f>
        <v>0</v>
      </c>
      <c r="I10" s="13">
        <v>0.4</v>
      </c>
      <c r="J10" s="14">
        <f>Tabella211[[#This Row],[Costo Totale]]+(Tabella211[[#This Row],[Costo Totale]]*Tabella211[[#This Row],[Ricarico]])</f>
        <v>0</v>
      </c>
      <c r="L10" s="77"/>
      <c r="M10" s="76"/>
      <c r="N10" s="101"/>
      <c r="O10" s="76"/>
      <c r="P10" s="76">
        <f>Tabella11416[[#This Row],[N. Persone]]*Tabella11416[[#This Row],[Q.tà (ORE)]]</f>
        <v>0</v>
      </c>
      <c r="Q10" s="102">
        <v>30</v>
      </c>
      <c r="R10" s="78">
        <f>Tabella11416[[#This Row],[ORE TOTALI]]*Tabella11416[[#This Row],[Unitario]]</f>
        <v>0</v>
      </c>
      <c r="S10" s="103">
        <v>0.5</v>
      </c>
      <c r="T10" s="104">
        <f>Tabella11416[[#This Row],[Totale]]+(Tabella11416[[#This Row],[Totale]]*Tabella11416[[#This Row],[Ricarico]])</f>
        <v>0</v>
      </c>
    </row>
    <row r="11" spans="2:20" s="8" customFormat="1" ht="15" thickBot="1" x14ac:dyDescent="0.25">
      <c r="B11" s="27" t="s">
        <v>6</v>
      </c>
      <c r="C11" s="28"/>
      <c r="D11" s="29"/>
      <c r="E11" s="30"/>
      <c r="F11" s="30"/>
      <c r="G11" s="31"/>
      <c r="H11" s="18">
        <f>SUBTOTAL(109,Tabella211[Costo Totale])</f>
        <v>0</v>
      </c>
      <c r="I11" s="45"/>
      <c r="J11" s="18">
        <f>SUBTOTAL(109,Tabella211[Vendita])</f>
        <v>0</v>
      </c>
      <c r="L11" s="77"/>
      <c r="M11" s="76"/>
      <c r="N11" s="101"/>
      <c r="O11" s="76"/>
      <c r="P11" s="76">
        <f>Tabella11416[[#This Row],[N. Persone]]*Tabella11416[[#This Row],[Q.tà (ORE)]]</f>
        <v>0</v>
      </c>
      <c r="Q11" s="102">
        <v>30</v>
      </c>
      <c r="R11" s="78">
        <f>Tabella11416[[#This Row],[ORE TOTALI]]*Tabella11416[[#This Row],[Unitario]]</f>
        <v>0</v>
      </c>
      <c r="S11" s="103">
        <v>0.5</v>
      </c>
      <c r="T11" s="104">
        <f>Tabella11416[[#This Row],[Totale]]+(Tabella11416[[#This Row],[Totale]]*Tabella11416[[#This Row],[Ricarico]])</f>
        <v>0</v>
      </c>
    </row>
    <row r="12" spans="2:20" s="8" customFormat="1" x14ac:dyDescent="0.25">
      <c r="B12" s="1"/>
      <c r="C12" s="1"/>
      <c r="D12" s="1"/>
      <c r="E12" s="1"/>
      <c r="F12" s="1"/>
      <c r="G12" s="1"/>
      <c r="H12" s="1"/>
      <c r="I12" s="1"/>
      <c r="J12" s="1"/>
      <c r="L12" s="77"/>
      <c r="M12" s="76"/>
      <c r="N12" s="101"/>
      <c r="O12" s="76"/>
      <c r="P12" s="76">
        <f>Tabella11416[[#This Row],[N. Persone]]*Tabella11416[[#This Row],[Q.tà (ORE)]]</f>
        <v>0</v>
      </c>
      <c r="Q12" s="102">
        <v>30</v>
      </c>
      <c r="R12" s="78">
        <f>Tabella11416[[#This Row],[ORE TOTALI]]*Tabella11416[[#This Row],[Unitario]]</f>
        <v>0</v>
      </c>
      <c r="S12" s="103">
        <v>0.5</v>
      </c>
      <c r="T12" s="104">
        <f>Tabella11416[[#This Row],[Totale]]+(Tabella11416[[#This Row],[Totale]]*Tabella11416[[#This Row],[Ricarico]])</f>
        <v>0</v>
      </c>
    </row>
    <row r="13" spans="2:20" s="8" customFormat="1" x14ac:dyDescent="0.25">
      <c r="B13" s="1"/>
      <c r="C13" s="1"/>
      <c r="D13" s="1"/>
      <c r="E13" s="1"/>
      <c r="F13" s="1"/>
      <c r="G13" s="1"/>
      <c r="H13" s="1"/>
      <c r="I13" s="1"/>
      <c r="J13" s="1"/>
      <c r="L13" s="77"/>
      <c r="M13" s="76"/>
      <c r="N13" s="101"/>
      <c r="O13" s="76"/>
      <c r="P13" s="76">
        <f>Tabella11416[[#This Row],[N. Persone]]*Tabella11416[[#This Row],[Q.tà (ORE)]]</f>
        <v>0</v>
      </c>
      <c r="Q13" s="102">
        <v>30</v>
      </c>
      <c r="R13" s="78">
        <f>Tabella11416[[#This Row],[ORE TOTALI]]*Tabella11416[[#This Row],[Unitario]]</f>
        <v>0</v>
      </c>
      <c r="S13" s="103">
        <v>0.5</v>
      </c>
      <c r="T13" s="104">
        <f>Tabella11416[[#This Row],[Totale]]+(Tabella11416[[#This Row],[Totale]]*Tabella11416[[#This Row],[Ricarico]])</f>
        <v>0</v>
      </c>
    </row>
    <row r="14" spans="2:20" s="8" customFormat="1" x14ac:dyDescent="0.25">
      <c r="B14" s="1"/>
      <c r="C14" s="1"/>
      <c r="D14" s="1"/>
      <c r="E14" s="2"/>
      <c r="F14" s="3"/>
      <c r="G14" s="1"/>
      <c r="H14" s="1"/>
      <c r="I14" s="1"/>
      <c r="J14" s="1"/>
      <c r="L14" s="77"/>
      <c r="M14" s="76"/>
      <c r="N14" s="101"/>
      <c r="O14" s="76"/>
      <c r="P14" s="76">
        <f>Tabella11416[[#This Row],[N. Persone]]*Tabella11416[[#This Row],[Q.tà (ORE)]]</f>
        <v>0</v>
      </c>
      <c r="Q14" s="102">
        <v>30</v>
      </c>
      <c r="R14" s="78">
        <f>Tabella11416[[#This Row],[ORE TOTALI]]*Tabella11416[[#This Row],[Unitario]]</f>
        <v>0</v>
      </c>
      <c r="S14" s="103">
        <v>0.5</v>
      </c>
      <c r="T14" s="104">
        <f>Tabella11416[[#This Row],[Totale]]+(Tabella11416[[#This Row],[Totale]]*Tabella11416[[#This Row],[Ricarico]])</f>
        <v>0</v>
      </c>
    </row>
    <row r="15" spans="2:20" s="8" customFormat="1" ht="15.75" customHeight="1" x14ac:dyDescent="0.25">
      <c r="B15" s="1"/>
      <c r="C15" s="1"/>
      <c r="D15" s="1"/>
      <c r="E15" s="2"/>
      <c r="F15" s="3"/>
      <c r="G15" s="1"/>
      <c r="H15" s="1"/>
      <c r="I15" s="1"/>
      <c r="J15" s="1"/>
      <c r="L15" s="77"/>
      <c r="M15" s="76"/>
      <c r="N15" s="101"/>
      <c r="O15" s="76"/>
      <c r="P15" s="76">
        <f>Tabella11416[[#This Row],[N. Persone]]*Tabella11416[[#This Row],[Q.tà (ORE)]]</f>
        <v>0</v>
      </c>
      <c r="Q15" s="102">
        <v>30</v>
      </c>
      <c r="R15" s="78">
        <f>Tabella11416[[#This Row],[ORE TOTALI]]*Tabella11416[[#This Row],[Unitario]]</f>
        <v>0</v>
      </c>
      <c r="S15" s="103">
        <v>0.5</v>
      </c>
      <c r="T15" s="104">
        <f>Tabella11416[[#This Row],[Totale]]+(Tabella11416[[#This Row],[Totale]]*Tabella11416[[#This Row],[Ricarico]])</f>
        <v>0</v>
      </c>
    </row>
    <row r="16" spans="2:20" s="8" customFormat="1" ht="15.75" customHeight="1" x14ac:dyDescent="0.25">
      <c r="B16" s="1"/>
      <c r="C16" s="1"/>
      <c r="D16" s="1"/>
      <c r="E16" s="2"/>
      <c r="F16" s="3"/>
      <c r="G16" s="1"/>
      <c r="H16" s="1"/>
      <c r="I16" s="1"/>
      <c r="J16" s="1"/>
      <c r="L16" s="77"/>
      <c r="M16" s="76"/>
      <c r="N16" s="101"/>
      <c r="O16" s="76"/>
      <c r="P16" s="76">
        <f>Tabella11416[[#This Row],[N. Persone]]*Tabella11416[[#This Row],[Q.tà (ORE)]]</f>
        <v>0</v>
      </c>
      <c r="Q16" s="102">
        <v>30</v>
      </c>
      <c r="R16" s="78">
        <f>Tabella11416[[#This Row],[ORE TOTALI]]*Tabella11416[[#This Row],[Unitario]]</f>
        <v>0</v>
      </c>
      <c r="S16" s="103">
        <v>0.5</v>
      </c>
      <c r="T16" s="104">
        <f>Tabella11416[[#This Row],[Totale]]+(Tabella11416[[#This Row],[Totale]]*Tabella11416[[#This Row],[Ricarico]])</f>
        <v>0</v>
      </c>
    </row>
    <row r="17" spans="2:20" s="8" customFormat="1" ht="17.25" customHeight="1" x14ac:dyDescent="0.25">
      <c r="B17" s="1"/>
      <c r="C17" s="1"/>
      <c r="D17" s="1"/>
      <c r="E17" s="2"/>
      <c r="F17" s="3"/>
      <c r="G17" s="1"/>
      <c r="H17" s="1"/>
      <c r="I17" s="1"/>
      <c r="J17" s="1"/>
      <c r="L17" s="77"/>
      <c r="M17" s="76"/>
      <c r="N17" s="101"/>
      <c r="O17" s="76"/>
      <c r="P17" s="76">
        <f>Tabella11416[[#This Row],[N. Persone]]*Tabella11416[[#This Row],[Q.tà (ORE)]]</f>
        <v>0</v>
      </c>
      <c r="Q17" s="102">
        <v>30</v>
      </c>
      <c r="R17" s="78">
        <f>Tabella11416[[#This Row],[ORE TOTALI]]*Tabella11416[[#This Row],[Unitario]]</f>
        <v>0</v>
      </c>
      <c r="S17" s="103">
        <v>0.5</v>
      </c>
      <c r="T17" s="104">
        <f>Tabella11416[[#This Row],[Totale]]+(Tabella11416[[#This Row],[Totale]]*Tabella11416[[#This Row],[Ricarico]])</f>
        <v>0</v>
      </c>
    </row>
    <row r="18" spans="2:20" s="8" customFormat="1" x14ac:dyDescent="0.25">
      <c r="B18" s="1"/>
      <c r="C18" s="1"/>
      <c r="D18" s="1"/>
      <c r="E18" s="2"/>
      <c r="F18" s="3"/>
      <c r="G18" s="1"/>
      <c r="H18" s="1"/>
      <c r="I18" s="1"/>
      <c r="J18" s="1"/>
      <c r="L18" s="77"/>
      <c r="M18" s="76"/>
      <c r="N18" s="101"/>
      <c r="O18" s="76"/>
      <c r="P18" s="76">
        <f>Tabella11416[[#This Row],[N. Persone]]*Tabella11416[[#This Row],[Q.tà (ORE)]]</f>
        <v>0</v>
      </c>
      <c r="Q18" s="102">
        <v>30</v>
      </c>
      <c r="R18" s="78">
        <f>Tabella11416[[#This Row],[ORE TOTALI]]*Tabella11416[[#This Row],[Unitario]]</f>
        <v>0</v>
      </c>
      <c r="S18" s="103">
        <v>0.5</v>
      </c>
      <c r="T18" s="104">
        <f>Tabella11416[[#This Row],[Totale]]+(Tabella11416[[#This Row],[Totale]]*Tabella11416[[#This Row],[Ricarico]])</f>
        <v>0</v>
      </c>
    </row>
    <row r="19" spans="2:20" s="8" customFormat="1" x14ac:dyDescent="0.25">
      <c r="B19" s="1"/>
      <c r="C19" s="1"/>
      <c r="D19" s="1"/>
      <c r="E19" s="2"/>
      <c r="F19" s="3"/>
      <c r="G19" s="1"/>
      <c r="H19" s="1"/>
      <c r="I19" s="1"/>
      <c r="J19" s="1"/>
      <c r="L19" s="77"/>
      <c r="M19" s="76"/>
      <c r="N19" s="101"/>
      <c r="O19" s="76"/>
      <c r="P19" s="76">
        <f>Tabella11416[[#This Row],[N. Persone]]*Tabella11416[[#This Row],[Q.tà (ORE)]]</f>
        <v>0</v>
      </c>
      <c r="Q19" s="102">
        <v>30</v>
      </c>
      <c r="R19" s="78">
        <f>Tabella11416[[#This Row],[ORE TOTALI]]*Tabella11416[[#This Row],[Unitario]]</f>
        <v>0</v>
      </c>
      <c r="S19" s="103">
        <v>0.5</v>
      </c>
      <c r="T19" s="104">
        <f>Tabella11416[[#This Row],[Totale]]+(Tabella11416[[#This Row],[Totale]]*Tabella11416[[#This Row],[Ricarico]])</f>
        <v>0</v>
      </c>
    </row>
    <row r="20" spans="2:20" s="8" customFormat="1" x14ac:dyDescent="0.25">
      <c r="B20" s="1"/>
      <c r="C20" s="1"/>
      <c r="D20" s="1"/>
      <c r="E20" s="2"/>
      <c r="F20" s="3"/>
      <c r="G20" s="1"/>
      <c r="H20" s="1"/>
      <c r="I20" s="1"/>
      <c r="J20" s="1"/>
      <c r="L20" s="77"/>
      <c r="M20" s="76"/>
      <c r="N20" s="101"/>
      <c r="O20" s="76"/>
      <c r="P20" s="76">
        <f>Tabella11416[[#This Row],[N. Persone]]*Tabella11416[[#This Row],[Q.tà (ORE)]]</f>
        <v>0</v>
      </c>
      <c r="Q20" s="102">
        <v>30</v>
      </c>
      <c r="R20" s="78">
        <f>Tabella11416[[#This Row],[ORE TOTALI]]*Tabella11416[[#This Row],[Unitario]]</f>
        <v>0</v>
      </c>
      <c r="S20" s="103">
        <v>0.5</v>
      </c>
      <c r="T20" s="104">
        <f>Tabella11416[[#This Row],[Totale]]+(Tabella11416[[#This Row],[Totale]]*Tabella11416[[#This Row],[Ricarico]])</f>
        <v>0</v>
      </c>
    </row>
    <row r="21" spans="2:20" s="8" customFormat="1" x14ac:dyDescent="0.25">
      <c r="B21" s="1"/>
      <c r="C21" s="1"/>
      <c r="D21" s="1"/>
      <c r="E21" s="2"/>
      <c r="F21" s="3"/>
      <c r="G21" s="1"/>
      <c r="H21" s="1"/>
      <c r="I21" s="1"/>
      <c r="J21" s="1"/>
      <c r="L21" s="77"/>
      <c r="M21" s="76"/>
      <c r="N21" s="101"/>
      <c r="O21" s="76"/>
      <c r="P21" s="76">
        <f>Tabella11416[[#This Row],[N. Persone]]*Tabella11416[[#This Row],[Q.tà (ORE)]]</f>
        <v>0</v>
      </c>
      <c r="Q21" s="102">
        <v>30</v>
      </c>
      <c r="R21" s="78">
        <f>Tabella11416[[#This Row],[ORE TOTALI]]*Tabella11416[[#This Row],[Unitario]]</f>
        <v>0</v>
      </c>
      <c r="S21" s="103">
        <v>0.5</v>
      </c>
      <c r="T21" s="104">
        <f>Tabella11416[[#This Row],[Totale]]+(Tabella11416[[#This Row],[Totale]]*Tabella11416[[#This Row],[Ricarico]])</f>
        <v>0</v>
      </c>
    </row>
    <row r="22" spans="2:20" s="8" customFormat="1" x14ac:dyDescent="0.25">
      <c r="B22" s="1"/>
      <c r="C22" s="1"/>
      <c r="D22" s="1"/>
      <c r="E22" s="2"/>
      <c r="F22" s="3"/>
      <c r="G22" s="1"/>
      <c r="H22" s="1"/>
      <c r="I22" s="1"/>
      <c r="J22" s="1"/>
      <c r="L22" s="77"/>
      <c r="M22" s="76"/>
      <c r="N22" s="101"/>
      <c r="O22" s="76"/>
      <c r="P22" s="76">
        <f>Tabella11416[[#This Row],[N. Persone]]*Tabella11416[[#This Row],[Q.tà (ORE)]]</f>
        <v>0</v>
      </c>
      <c r="Q22" s="102">
        <v>30</v>
      </c>
      <c r="R22" s="78">
        <f>Tabella11416[[#This Row],[ORE TOTALI]]*Tabella11416[[#This Row],[Unitario]]</f>
        <v>0</v>
      </c>
      <c r="S22" s="103">
        <v>0.5</v>
      </c>
      <c r="T22" s="104">
        <f>Tabella11416[[#This Row],[Totale]]+(Tabella11416[[#This Row],[Totale]]*Tabella11416[[#This Row],[Ricarico]])</f>
        <v>0</v>
      </c>
    </row>
    <row r="23" spans="2:20" s="8" customFormat="1" x14ac:dyDescent="0.25">
      <c r="B23" s="1"/>
      <c r="C23" s="1"/>
      <c r="D23" s="1"/>
      <c r="E23" s="2"/>
      <c r="F23" s="3"/>
      <c r="G23" s="1"/>
      <c r="H23" s="1"/>
      <c r="I23" s="1"/>
      <c r="J23" s="1"/>
      <c r="L23" s="77"/>
      <c r="M23" s="76"/>
      <c r="N23" s="101"/>
      <c r="O23" s="76"/>
      <c r="P23" s="76">
        <f>Tabella11416[[#This Row],[N. Persone]]*Tabella11416[[#This Row],[Q.tà (ORE)]]</f>
        <v>0</v>
      </c>
      <c r="Q23" s="102">
        <v>30</v>
      </c>
      <c r="R23" s="78">
        <f>Tabella11416[[#This Row],[ORE TOTALI]]*Tabella11416[[#This Row],[Unitario]]</f>
        <v>0</v>
      </c>
      <c r="S23" s="103">
        <v>0.5</v>
      </c>
      <c r="T23" s="104">
        <f>Tabella11416[[#This Row],[Totale]]+(Tabella11416[[#This Row],[Totale]]*Tabella11416[[#This Row],[Ricarico]])</f>
        <v>0</v>
      </c>
    </row>
    <row r="24" spans="2:20" s="8" customFormat="1" ht="15" thickBot="1" x14ac:dyDescent="0.3">
      <c r="B24" s="1"/>
      <c r="C24" s="1"/>
      <c r="D24" s="1"/>
      <c r="E24" s="2"/>
      <c r="F24" s="3"/>
      <c r="G24" s="1"/>
      <c r="H24" s="1"/>
      <c r="I24" s="1"/>
      <c r="J24" s="1"/>
      <c r="L24" s="79"/>
      <c r="M24" s="80"/>
      <c r="N24" s="80"/>
      <c r="O24" s="100"/>
      <c r="P24" s="76">
        <f>Tabella11416[[#This Row],[N. Persone]]*Tabella11416[[#This Row],[Q.tà (ORE)]]</f>
        <v>0</v>
      </c>
      <c r="Q24" s="102">
        <v>30</v>
      </c>
      <c r="R24" s="78">
        <f>Tabella11416[[#This Row],[ORE TOTALI]]*Tabella11416[[#This Row],[Unitario]]</f>
        <v>0</v>
      </c>
      <c r="S24" s="103">
        <v>0.5</v>
      </c>
      <c r="T24" s="104">
        <f>Tabella11416[[#This Row],[Totale]]+(Tabella11416[[#This Row],[Totale]]*Tabella11416[[#This Row],[Ricarico]])</f>
        <v>0</v>
      </c>
    </row>
    <row r="25" spans="2:20" s="8" customFormat="1" ht="15" thickBot="1" x14ac:dyDescent="0.3">
      <c r="B25" s="1"/>
      <c r="C25" s="1"/>
      <c r="D25" s="1"/>
      <c r="E25" s="2"/>
      <c r="F25" s="3"/>
      <c r="G25" s="1"/>
      <c r="H25" s="1"/>
      <c r="I25" s="1"/>
      <c r="J25" s="1"/>
      <c r="L25" s="81" t="s">
        <v>6</v>
      </c>
      <c r="M25" s="82"/>
      <c r="N25" s="83"/>
      <c r="O25" s="84"/>
      <c r="P25" s="84">
        <f>SUBTOTAL(109,Tabella11416[ORE TOTALI])</f>
        <v>0</v>
      </c>
      <c r="Q25" s="85"/>
      <c r="R25" s="86">
        <f>SUBTOTAL(109,Tabella11416[Totale])</f>
        <v>0</v>
      </c>
      <c r="S25" s="85"/>
      <c r="T25" s="86">
        <f>SUBTOTAL(109,Tabella11416[Vendita])</f>
        <v>0</v>
      </c>
    </row>
    <row r="26" spans="2:20" s="8" customFormat="1" x14ac:dyDescent="0.25">
      <c r="B26" s="1"/>
      <c r="C26" s="1"/>
      <c r="D26" s="1"/>
      <c r="E26" s="2"/>
      <c r="F26" s="3"/>
      <c r="G26" s="1"/>
      <c r="H26" s="1"/>
      <c r="I26" s="1"/>
      <c r="J26" s="1"/>
    </row>
    <row r="27" spans="2:20" s="8" customFormat="1" x14ac:dyDescent="0.25">
      <c r="B27" s="1"/>
      <c r="C27" s="1"/>
      <c r="D27" s="1"/>
      <c r="E27" s="2"/>
      <c r="F27" s="3"/>
      <c r="G27" s="1"/>
      <c r="H27" s="1"/>
      <c r="I27" s="1"/>
      <c r="J27" s="1"/>
    </row>
    <row r="28" spans="2:20" s="8" customFormat="1" x14ac:dyDescent="0.25">
      <c r="B28" s="1"/>
      <c r="C28" s="1"/>
      <c r="D28" s="1"/>
      <c r="E28" s="2"/>
      <c r="F28" s="3"/>
      <c r="G28" s="1"/>
      <c r="H28" s="1"/>
      <c r="I28" s="1"/>
      <c r="J28" s="1"/>
    </row>
    <row r="29" spans="2:20" s="8" customFormat="1" x14ac:dyDescent="0.25">
      <c r="B29" s="1"/>
      <c r="C29" s="1"/>
      <c r="D29" s="1"/>
      <c r="E29" s="2"/>
      <c r="F29" s="3"/>
      <c r="G29" s="1"/>
      <c r="H29" s="1"/>
      <c r="I29" s="1"/>
      <c r="J29" s="1"/>
    </row>
    <row r="30" spans="2:20" s="8" customFormat="1" x14ac:dyDescent="0.25">
      <c r="B30" s="1"/>
      <c r="C30" s="1"/>
      <c r="D30" s="1"/>
      <c r="E30" s="2"/>
      <c r="F30" s="3"/>
      <c r="G30" s="1"/>
      <c r="H30" s="1"/>
      <c r="I30" s="1"/>
      <c r="J30" s="1"/>
    </row>
    <row r="31" spans="2:20" s="8" customFormat="1" x14ac:dyDescent="0.25">
      <c r="B31" s="1"/>
      <c r="C31" s="1"/>
      <c r="D31" s="1"/>
      <c r="E31" s="2"/>
      <c r="F31" s="3"/>
      <c r="G31" s="1"/>
      <c r="H31" s="1"/>
      <c r="I31" s="1"/>
      <c r="J31" s="1"/>
    </row>
    <row r="32" spans="2:20" s="8" customFormat="1" x14ac:dyDescent="0.25">
      <c r="B32" s="1"/>
      <c r="C32" s="1"/>
      <c r="D32" s="1"/>
      <c r="E32" s="2"/>
      <c r="F32" s="3"/>
      <c r="G32" s="1"/>
      <c r="H32" s="1"/>
      <c r="I32" s="1"/>
      <c r="J32" s="1"/>
    </row>
    <row r="33" spans="2:10" s="8" customFormat="1" x14ac:dyDescent="0.25">
      <c r="B33" s="1"/>
      <c r="C33" s="1"/>
      <c r="D33" s="1"/>
      <c r="E33" s="2"/>
      <c r="F33" s="3"/>
      <c r="G33" s="1"/>
      <c r="H33" s="1"/>
      <c r="I33" s="1"/>
      <c r="J33" s="1"/>
    </row>
    <row r="34" spans="2:10" s="8" customFormat="1" x14ac:dyDescent="0.25">
      <c r="B34" s="1"/>
      <c r="C34" s="1"/>
      <c r="D34" s="1"/>
      <c r="E34" s="2"/>
      <c r="F34" s="3"/>
      <c r="G34" s="1"/>
      <c r="H34" s="1"/>
      <c r="I34" s="1"/>
      <c r="J34" s="1"/>
    </row>
    <row r="35" spans="2:10" s="8" customFormat="1" x14ac:dyDescent="0.25">
      <c r="B35" s="1"/>
      <c r="C35" s="1"/>
      <c r="D35" s="1"/>
      <c r="E35" s="2"/>
      <c r="F35" s="3"/>
      <c r="G35" s="1"/>
      <c r="H35" s="1"/>
      <c r="I35" s="1"/>
      <c r="J35" s="1"/>
    </row>
    <row r="36" spans="2:10" s="8" customFormat="1" x14ac:dyDescent="0.25">
      <c r="B36" s="1"/>
      <c r="C36" s="1"/>
      <c r="D36" s="1"/>
      <c r="E36" s="2"/>
      <c r="F36" s="3"/>
      <c r="G36" s="1"/>
      <c r="H36" s="1"/>
      <c r="I36" s="1"/>
      <c r="J36" s="1"/>
    </row>
    <row r="37" spans="2:10" s="8" customFormat="1" x14ac:dyDescent="0.25">
      <c r="B37" s="1"/>
      <c r="C37" s="1"/>
      <c r="D37" s="1"/>
      <c r="E37" s="2"/>
      <c r="F37" s="3"/>
      <c r="G37" s="1"/>
      <c r="H37" s="1"/>
      <c r="I37" s="1"/>
      <c r="J37" s="1"/>
    </row>
    <row r="38" spans="2:10" s="8" customFormat="1" x14ac:dyDescent="0.25">
      <c r="B38" s="1"/>
      <c r="C38" s="1"/>
      <c r="D38" s="1"/>
      <c r="E38" s="2"/>
      <c r="F38" s="3"/>
      <c r="G38" s="1"/>
      <c r="H38" s="1"/>
      <c r="I38" s="1"/>
      <c r="J38" s="1"/>
    </row>
    <row r="39" spans="2:10" s="8" customFormat="1" x14ac:dyDescent="0.25">
      <c r="B39" s="1"/>
      <c r="C39" s="1"/>
      <c r="D39" s="1"/>
      <c r="E39" s="2"/>
      <c r="F39" s="3"/>
      <c r="G39" s="1"/>
      <c r="H39" s="1"/>
      <c r="I39" s="1"/>
      <c r="J39" s="1"/>
    </row>
    <row r="40" spans="2:10" s="8" customFormat="1" x14ac:dyDescent="0.25">
      <c r="B40" s="1"/>
      <c r="C40" s="1"/>
      <c r="D40" s="1"/>
      <c r="E40" s="2"/>
      <c r="F40" s="3"/>
      <c r="G40" s="1"/>
      <c r="H40" s="1"/>
      <c r="I40" s="1"/>
      <c r="J40" s="1"/>
    </row>
    <row r="41" spans="2:10" s="8" customFormat="1" x14ac:dyDescent="0.25">
      <c r="B41" s="1"/>
      <c r="C41" s="1"/>
      <c r="D41" s="1"/>
      <c r="E41" s="2"/>
      <c r="F41" s="3"/>
      <c r="G41" s="1"/>
      <c r="H41" s="1"/>
      <c r="I41" s="1"/>
      <c r="J41" s="1"/>
    </row>
    <row r="42" spans="2:10" s="8" customFormat="1" x14ac:dyDescent="0.25">
      <c r="B42" s="1"/>
      <c r="C42" s="1"/>
      <c r="D42" s="1"/>
      <c r="E42" s="2"/>
      <c r="F42" s="3"/>
      <c r="G42" s="1"/>
      <c r="H42" s="1"/>
      <c r="I42" s="1"/>
      <c r="J42" s="1"/>
    </row>
    <row r="43" spans="2:10" s="8" customFormat="1" x14ac:dyDescent="0.25">
      <c r="B43" s="1"/>
      <c r="C43" s="1"/>
      <c r="D43" s="1"/>
      <c r="E43" s="2"/>
      <c r="F43" s="3"/>
      <c r="G43" s="1"/>
      <c r="H43" s="1"/>
      <c r="I43" s="1"/>
      <c r="J43" s="1"/>
    </row>
    <row r="44" spans="2:10" s="8" customFormat="1" x14ac:dyDescent="0.25">
      <c r="B44" s="1"/>
      <c r="C44" s="1"/>
      <c r="D44" s="1"/>
      <c r="E44" s="2"/>
      <c r="F44" s="3"/>
      <c r="G44" s="1"/>
      <c r="H44" s="1"/>
      <c r="I44" s="1"/>
      <c r="J44" s="1"/>
    </row>
    <row r="45" spans="2:10" s="8" customFormat="1" x14ac:dyDescent="0.25">
      <c r="B45" s="1"/>
      <c r="C45" s="1"/>
      <c r="D45" s="1"/>
      <c r="E45" s="2"/>
      <c r="F45" s="3"/>
      <c r="G45" s="1"/>
      <c r="H45" s="1"/>
      <c r="I45" s="1"/>
      <c r="J45" s="1"/>
    </row>
    <row r="46" spans="2:10" s="8" customFormat="1" x14ac:dyDescent="0.25">
      <c r="B46" s="1"/>
      <c r="C46" s="1"/>
      <c r="D46" s="1"/>
      <c r="E46" s="2"/>
      <c r="F46" s="3"/>
      <c r="G46" s="1"/>
      <c r="H46" s="1"/>
      <c r="I46" s="1"/>
      <c r="J46" s="1"/>
    </row>
    <row r="47" spans="2:10" s="8" customFormat="1" x14ac:dyDescent="0.25">
      <c r="B47" s="1"/>
      <c r="C47" s="1"/>
      <c r="D47" s="1"/>
      <c r="E47" s="2"/>
      <c r="F47" s="3"/>
      <c r="G47" s="1"/>
      <c r="H47" s="1"/>
      <c r="I47" s="1"/>
      <c r="J47" s="1"/>
    </row>
    <row r="48" spans="2:10" s="8" customFormat="1" x14ac:dyDescent="0.25">
      <c r="B48" s="1"/>
      <c r="C48" s="1"/>
      <c r="D48" s="1"/>
      <c r="E48" s="2"/>
      <c r="F48" s="3"/>
      <c r="G48" s="1"/>
      <c r="H48" s="1"/>
      <c r="I48" s="1"/>
      <c r="J48" s="1"/>
    </row>
    <row r="49" spans="2:10" s="8" customFormat="1" x14ac:dyDescent="0.25">
      <c r="B49" s="1"/>
      <c r="C49" s="1"/>
      <c r="D49" s="1"/>
      <c r="E49" s="2"/>
      <c r="F49" s="3"/>
      <c r="G49" s="1"/>
      <c r="H49" s="1"/>
      <c r="I49" s="1"/>
      <c r="J49" s="1"/>
    </row>
    <row r="50" spans="2:10" s="8" customFormat="1" x14ac:dyDescent="0.25">
      <c r="B50" s="1"/>
      <c r="C50" s="1"/>
      <c r="D50" s="1"/>
      <c r="E50" s="2"/>
      <c r="F50" s="3"/>
      <c r="G50" s="1"/>
      <c r="H50" s="1"/>
      <c r="I50" s="1"/>
      <c r="J50" s="1"/>
    </row>
    <row r="51" spans="2:10" s="8" customFormat="1" x14ac:dyDescent="0.25">
      <c r="B51" s="1"/>
      <c r="C51" s="1"/>
      <c r="D51" s="1"/>
      <c r="E51" s="2"/>
      <c r="F51" s="3"/>
      <c r="G51" s="1"/>
      <c r="H51" s="1"/>
      <c r="I51" s="1"/>
      <c r="J51" s="1"/>
    </row>
    <row r="52" spans="2:10" s="8" customFormat="1" x14ac:dyDescent="0.25">
      <c r="B52" s="1"/>
      <c r="C52" s="1"/>
      <c r="D52" s="1"/>
      <c r="E52" s="2"/>
      <c r="F52" s="3"/>
      <c r="G52" s="1"/>
      <c r="H52" s="1"/>
      <c r="I52" s="1"/>
      <c r="J52" s="1"/>
    </row>
    <row r="53" spans="2:10" s="8" customFormat="1" x14ac:dyDescent="0.25">
      <c r="B53" s="1"/>
      <c r="C53" s="1"/>
      <c r="D53" s="1"/>
      <c r="E53" s="2"/>
      <c r="F53" s="3"/>
      <c r="G53" s="1"/>
      <c r="H53" s="1"/>
      <c r="I53" s="1"/>
      <c r="J53" s="1"/>
    </row>
    <row r="54" spans="2:10" s="8" customFormat="1" x14ac:dyDescent="0.25">
      <c r="B54" s="1"/>
      <c r="C54" s="1"/>
      <c r="D54" s="1"/>
      <c r="E54" s="2"/>
      <c r="F54" s="3"/>
      <c r="G54" s="1"/>
      <c r="H54" s="1"/>
      <c r="I54" s="1"/>
      <c r="J54" s="1"/>
    </row>
    <row r="55" spans="2:10" s="8" customFormat="1" x14ac:dyDescent="0.25">
      <c r="B55" s="1"/>
      <c r="C55" s="1"/>
      <c r="D55" s="1"/>
      <c r="E55" s="2"/>
      <c r="F55" s="3"/>
      <c r="G55" s="1"/>
      <c r="H55" s="1"/>
      <c r="I55" s="1"/>
      <c r="J55" s="1"/>
    </row>
    <row r="56" spans="2:10" s="8" customFormat="1" x14ac:dyDescent="0.25">
      <c r="B56" s="1"/>
      <c r="C56" s="1"/>
      <c r="D56" s="1"/>
      <c r="E56" s="2"/>
      <c r="F56" s="3"/>
      <c r="G56" s="1"/>
      <c r="H56" s="1"/>
      <c r="I56" s="1"/>
      <c r="J56" s="1"/>
    </row>
    <row r="57" spans="2:10" s="8" customFormat="1" x14ac:dyDescent="0.25">
      <c r="B57" s="1"/>
      <c r="C57" s="1"/>
      <c r="D57" s="1"/>
      <c r="E57" s="2"/>
      <c r="F57" s="3"/>
      <c r="G57" s="1"/>
      <c r="H57" s="1"/>
      <c r="I57" s="1"/>
      <c r="J57" s="1"/>
    </row>
    <row r="58" spans="2:10" s="8" customFormat="1" x14ac:dyDescent="0.25">
      <c r="B58" s="1"/>
      <c r="C58" s="1"/>
      <c r="D58" s="1"/>
      <c r="E58" s="2"/>
      <c r="F58" s="3"/>
      <c r="G58" s="1"/>
      <c r="H58" s="1"/>
      <c r="I58" s="1"/>
      <c r="J58" s="1"/>
    </row>
    <row r="59" spans="2:10" s="8" customFormat="1" x14ac:dyDescent="0.25">
      <c r="B59" s="1"/>
      <c r="C59" s="1"/>
      <c r="D59" s="1"/>
      <c r="E59" s="2"/>
      <c r="F59" s="3"/>
      <c r="G59" s="1"/>
      <c r="H59" s="1"/>
      <c r="I59" s="1"/>
      <c r="J59" s="1"/>
    </row>
    <row r="60" spans="2:10" s="8" customFormat="1" x14ac:dyDescent="0.25">
      <c r="B60" s="1"/>
      <c r="C60" s="1"/>
      <c r="D60" s="1"/>
      <c r="E60" s="2"/>
      <c r="F60" s="3"/>
      <c r="G60" s="1"/>
      <c r="H60" s="1"/>
      <c r="I60" s="1"/>
      <c r="J60" s="1"/>
    </row>
    <row r="61" spans="2:10" s="8" customFormat="1" x14ac:dyDescent="0.25">
      <c r="B61" s="1"/>
      <c r="C61" s="1"/>
      <c r="D61" s="1"/>
      <c r="E61" s="2"/>
      <c r="F61" s="3"/>
      <c r="G61" s="1"/>
      <c r="H61" s="1"/>
      <c r="I61" s="1"/>
      <c r="J61" s="1"/>
    </row>
    <row r="62" spans="2:10" s="8" customFormat="1" x14ac:dyDescent="0.25">
      <c r="B62" s="1"/>
      <c r="C62" s="1"/>
      <c r="D62" s="1"/>
      <c r="E62" s="2"/>
      <c r="F62" s="3"/>
      <c r="G62" s="1"/>
      <c r="H62" s="1"/>
      <c r="I62" s="1"/>
      <c r="J62" s="1"/>
    </row>
    <row r="63" spans="2:10" s="8" customFormat="1" x14ac:dyDescent="0.25">
      <c r="B63" s="1"/>
      <c r="C63" s="1"/>
      <c r="D63" s="1"/>
      <c r="E63" s="2"/>
      <c r="F63" s="3"/>
      <c r="G63" s="1"/>
      <c r="H63" s="1"/>
      <c r="I63" s="1"/>
      <c r="J63" s="1"/>
    </row>
    <row r="64" spans="2:10" s="8" customFormat="1" x14ac:dyDescent="0.25">
      <c r="B64" s="1"/>
      <c r="C64" s="1"/>
      <c r="D64" s="1"/>
      <c r="E64" s="2"/>
      <c r="F64" s="3"/>
      <c r="G64" s="1"/>
      <c r="H64" s="1"/>
      <c r="I64" s="1"/>
      <c r="J64" s="1"/>
    </row>
    <row r="65" spans="2:10" s="8" customFormat="1" x14ac:dyDescent="0.25">
      <c r="B65" s="1"/>
      <c r="C65" s="1"/>
      <c r="D65" s="1"/>
      <c r="E65" s="2"/>
      <c r="F65" s="3"/>
      <c r="G65" s="1"/>
      <c r="H65" s="1"/>
      <c r="I65" s="1"/>
      <c r="J65" s="1"/>
    </row>
    <row r="66" spans="2:10" s="8" customFormat="1" x14ac:dyDescent="0.25">
      <c r="B66" s="1"/>
      <c r="C66" s="1"/>
      <c r="D66" s="1"/>
      <c r="E66" s="2"/>
      <c r="F66" s="3"/>
      <c r="G66" s="1"/>
      <c r="H66" s="1"/>
      <c r="I66" s="1"/>
      <c r="J66" s="1"/>
    </row>
    <row r="67" spans="2:10" s="8" customFormat="1" x14ac:dyDescent="0.25">
      <c r="B67" s="1"/>
      <c r="C67" s="1"/>
      <c r="D67" s="1"/>
      <c r="E67" s="2"/>
      <c r="F67" s="3"/>
      <c r="G67" s="1"/>
      <c r="H67" s="1"/>
      <c r="I67" s="1"/>
      <c r="J67" s="1"/>
    </row>
    <row r="68" spans="2:10" s="8" customFormat="1" x14ac:dyDescent="0.25">
      <c r="B68" s="1"/>
      <c r="C68" s="1"/>
      <c r="D68" s="1"/>
      <c r="E68" s="2"/>
      <c r="F68" s="3"/>
      <c r="G68" s="1"/>
      <c r="H68" s="1"/>
      <c r="I68" s="1"/>
      <c r="J68" s="1"/>
    </row>
    <row r="69" spans="2:10" s="8" customFormat="1" x14ac:dyDescent="0.25">
      <c r="B69" s="1"/>
      <c r="C69" s="1"/>
      <c r="D69" s="1"/>
      <c r="E69" s="2"/>
      <c r="F69" s="3"/>
      <c r="G69" s="1"/>
      <c r="H69" s="1"/>
      <c r="I69" s="1"/>
      <c r="J69" s="1"/>
    </row>
    <row r="70" spans="2:10" s="8" customFormat="1" x14ac:dyDescent="0.25">
      <c r="B70" s="1"/>
      <c r="C70" s="1"/>
      <c r="D70" s="1"/>
      <c r="E70" s="2"/>
      <c r="F70" s="3"/>
      <c r="G70" s="1"/>
      <c r="H70" s="1"/>
      <c r="I70" s="1"/>
      <c r="J70" s="1"/>
    </row>
    <row r="71" spans="2:10" s="8" customFormat="1" x14ac:dyDescent="0.25">
      <c r="B71" s="1"/>
      <c r="C71" s="1"/>
      <c r="D71" s="1"/>
      <c r="E71" s="2"/>
      <c r="F71" s="3"/>
      <c r="G71" s="1"/>
      <c r="H71" s="1"/>
      <c r="I71" s="1"/>
      <c r="J71" s="1"/>
    </row>
    <row r="72" spans="2:10" s="8" customFormat="1" x14ac:dyDescent="0.25">
      <c r="B72" s="1"/>
      <c r="C72" s="1"/>
      <c r="D72" s="1"/>
      <c r="E72" s="2"/>
      <c r="F72" s="3"/>
      <c r="G72" s="1"/>
      <c r="H72" s="1"/>
      <c r="I72" s="1"/>
      <c r="J72" s="1"/>
    </row>
    <row r="73" spans="2:10" s="8" customFormat="1" x14ac:dyDescent="0.25">
      <c r="B73" s="1"/>
      <c r="C73" s="1"/>
      <c r="D73" s="1"/>
      <c r="E73" s="2"/>
      <c r="F73" s="3"/>
      <c r="G73" s="1"/>
      <c r="H73" s="1"/>
      <c r="I73" s="1"/>
      <c r="J73" s="1"/>
    </row>
    <row r="74" spans="2:10" s="8" customFormat="1" x14ac:dyDescent="0.25">
      <c r="B74" s="1"/>
      <c r="C74" s="1"/>
      <c r="D74" s="1"/>
      <c r="E74" s="2"/>
      <c r="F74" s="3"/>
      <c r="G74" s="1"/>
      <c r="H74" s="1"/>
      <c r="I74" s="1"/>
      <c r="J74" s="1"/>
    </row>
    <row r="75" spans="2:10" s="8" customFormat="1" x14ac:dyDescent="0.25">
      <c r="B75" s="1"/>
      <c r="C75" s="1"/>
      <c r="D75" s="1"/>
      <c r="E75" s="2"/>
      <c r="F75" s="3"/>
      <c r="G75" s="1"/>
      <c r="H75" s="1"/>
      <c r="I75" s="1"/>
      <c r="J75" s="1"/>
    </row>
    <row r="76" spans="2:10" s="8" customFormat="1" x14ac:dyDescent="0.25">
      <c r="B76" s="1"/>
      <c r="C76" s="1"/>
      <c r="D76" s="1"/>
      <c r="E76" s="2"/>
      <c r="F76" s="3"/>
      <c r="G76" s="1"/>
      <c r="H76" s="1"/>
      <c r="I76" s="1"/>
      <c r="J76" s="1"/>
    </row>
    <row r="77" spans="2:10" s="8" customFormat="1" x14ac:dyDescent="0.25">
      <c r="B77" s="1"/>
      <c r="C77" s="1"/>
      <c r="D77" s="1"/>
      <c r="E77" s="2"/>
      <c r="F77" s="3"/>
      <c r="G77" s="1"/>
      <c r="H77" s="1"/>
      <c r="I77" s="1"/>
      <c r="J77" s="1"/>
    </row>
    <row r="78" spans="2:10" s="8" customFormat="1" x14ac:dyDescent="0.25">
      <c r="B78" s="1"/>
      <c r="C78" s="1"/>
      <c r="D78" s="1"/>
      <c r="E78" s="2"/>
      <c r="F78" s="3"/>
      <c r="G78" s="1"/>
      <c r="H78" s="1"/>
      <c r="I78" s="1"/>
      <c r="J78" s="1"/>
    </row>
    <row r="79" spans="2:10" s="8" customFormat="1" x14ac:dyDescent="0.25">
      <c r="B79" s="1"/>
      <c r="C79" s="1"/>
      <c r="D79" s="1"/>
      <c r="E79" s="2"/>
      <c r="F79" s="3"/>
      <c r="G79" s="1"/>
      <c r="H79" s="1"/>
      <c r="I79" s="1"/>
      <c r="J79" s="1"/>
    </row>
    <row r="80" spans="2:10" s="8" customFormat="1" x14ac:dyDescent="0.25">
      <c r="B80" s="1"/>
      <c r="C80" s="1"/>
      <c r="D80" s="1"/>
      <c r="E80" s="2"/>
      <c r="F80" s="3"/>
      <c r="G80" s="1"/>
      <c r="H80" s="1"/>
      <c r="I80" s="1"/>
      <c r="J80" s="1"/>
    </row>
    <row r="81" spans="2:10" s="8" customFormat="1" x14ac:dyDescent="0.25">
      <c r="B81" s="1"/>
      <c r="C81" s="1"/>
      <c r="D81" s="1"/>
      <c r="E81" s="2"/>
      <c r="F81" s="3"/>
      <c r="G81" s="1"/>
      <c r="H81" s="1"/>
      <c r="I81" s="1"/>
      <c r="J81" s="1"/>
    </row>
    <row r="82" spans="2:10" s="8" customFormat="1" x14ac:dyDescent="0.25">
      <c r="B82" s="1"/>
      <c r="C82" s="1"/>
      <c r="D82" s="1"/>
      <c r="E82" s="2"/>
      <c r="F82" s="3"/>
      <c r="G82" s="1"/>
      <c r="H82" s="1"/>
      <c r="I82" s="1"/>
      <c r="J82" s="1"/>
    </row>
    <row r="83" spans="2:10" s="8" customFormat="1" x14ac:dyDescent="0.25">
      <c r="B83" s="1"/>
      <c r="C83" s="1"/>
      <c r="D83" s="1"/>
      <c r="E83" s="2"/>
      <c r="F83" s="3"/>
      <c r="G83" s="1"/>
      <c r="H83" s="1"/>
      <c r="I83" s="1"/>
      <c r="J83" s="1"/>
    </row>
    <row r="84" spans="2:10" s="8" customFormat="1" x14ac:dyDescent="0.25">
      <c r="B84" s="1"/>
      <c r="C84" s="1"/>
      <c r="D84" s="1"/>
      <c r="E84" s="2"/>
      <c r="F84" s="3"/>
      <c r="G84" s="1"/>
      <c r="H84" s="1"/>
      <c r="I84" s="1"/>
      <c r="J84" s="1"/>
    </row>
    <row r="85" spans="2:10" s="8" customFormat="1" x14ac:dyDescent="0.25">
      <c r="B85" s="1"/>
      <c r="C85" s="1"/>
      <c r="D85" s="1"/>
      <c r="E85" s="2"/>
      <c r="F85" s="3"/>
      <c r="G85" s="1"/>
      <c r="H85" s="1"/>
      <c r="I85" s="1"/>
      <c r="J85" s="1"/>
    </row>
    <row r="86" spans="2:10" s="8" customFormat="1" x14ac:dyDescent="0.25">
      <c r="B86" s="1"/>
      <c r="C86" s="1"/>
      <c r="D86" s="1"/>
      <c r="E86" s="2"/>
      <c r="F86" s="3"/>
      <c r="G86" s="1"/>
      <c r="H86" s="1"/>
      <c r="I86" s="1"/>
      <c r="J86" s="1"/>
    </row>
    <row r="87" spans="2:10" s="8" customFormat="1" x14ac:dyDescent="0.25">
      <c r="B87" s="1"/>
      <c r="C87" s="1"/>
      <c r="D87" s="1"/>
      <c r="E87" s="2"/>
      <c r="F87" s="3"/>
      <c r="G87" s="1"/>
      <c r="H87" s="1"/>
      <c r="I87" s="1"/>
      <c r="J87" s="1"/>
    </row>
    <row r="88" spans="2:10" s="8" customFormat="1" x14ac:dyDescent="0.25">
      <c r="B88" s="1"/>
      <c r="C88" s="1"/>
      <c r="D88" s="1"/>
      <c r="E88" s="2"/>
      <c r="F88" s="3"/>
      <c r="G88" s="1"/>
      <c r="H88" s="1"/>
      <c r="I88" s="1"/>
      <c r="J88" s="1"/>
    </row>
    <row r="89" spans="2:10" s="8" customFormat="1" x14ac:dyDescent="0.25">
      <c r="B89" s="1"/>
      <c r="C89" s="1"/>
      <c r="D89" s="1"/>
      <c r="E89" s="2"/>
      <c r="F89" s="3"/>
      <c r="G89" s="1"/>
      <c r="H89" s="1"/>
      <c r="I89" s="1"/>
      <c r="J89" s="1"/>
    </row>
    <row r="90" spans="2:10" s="8" customFormat="1" x14ac:dyDescent="0.25">
      <c r="B90" s="1"/>
      <c r="C90" s="1"/>
      <c r="D90" s="1"/>
      <c r="E90" s="2"/>
      <c r="F90" s="3"/>
      <c r="G90" s="1"/>
      <c r="H90" s="1"/>
      <c r="I90" s="1"/>
      <c r="J90" s="1"/>
    </row>
    <row r="91" spans="2:10" s="8" customFormat="1" x14ac:dyDescent="0.25">
      <c r="B91" s="1"/>
      <c r="C91" s="1"/>
      <c r="D91" s="1"/>
      <c r="E91" s="2"/>
      <c r="F91" s="3"/>
      <c r="G91" s="1"/>
      <c r="H91" s="1"/>
      <c r="I91" s="1"/>
      <c r="J91" s="1"/>
    </row>
    <row r="92" spans="2:10" s="8" customFormat="1" x14ac:dyDescent="0.25">
      <c r="B92" s="1"/>
      <c r="C92" s="1"/>
      <c r="D92" s="1"/>
      <c r="E92" s="2"/>
      <c r="F92" s="3"/>
      <c r="G92" s="1"/>
      <c r="H92" s="1"/>
      <c r="I92" s="1"/>
      <c r="J92" s="1"/>
    </row>
    <row r="93" spans="2:10" s="8" customFormat="1" x14ac:dyDescent="0.25">
      <c r="B93" s="1"/>
      <c r="C93" s="1"/>
      <c r="D93" s="1"/>
      <c r="E93" s="2"/>
      <c r="F93" s="3"/>
      <c r="G93" s="1"/>
      <c r="H93" s="1"/>
      <c r="I93" s="1"/>
      <c r="J93" s="1"/>
    </row>
    <row r="94" spans="2:10" s="8" customFormat="1" x14ac:dyDescent="0.25">
      <c r="B94" s="1"/>
      <c r="C94" s="1"/>
      <c r="D94" s="1"/>
      <c r="E94" s="2"/>
      <c r="F94" s="3"/>
      <c r="G94" s="1"/>
      <c r="H94" s="1"/>
      <c r="I94" s="1"/>
      <c r="J94" s="1"/>
    </row>
    <row r="95" spans="2:10" s="8" customFormat="1" x14ac:dyDescent="0.25">
      <c r="B95" s="1"/>
      <c r="C95" s="1"/>
      <c r="D95" s="1"/>
      <c r="E95" s="2"/>
      <c r="F95" s="3"/>
      <c r="G95" s="1"/>
      <c r="H95" s="1"/>
      <c r="I95" s="1"/>
      <c r="J95" s="1"/>
    </row>
    <row r="96" spans="2:10" s="8" customFormat="1" x14ac:dyDescent="0.25">
      <c r="B96" s="1"/>
      <c r="C96" s="1"/>
      <c r="D96" s="1"/>
      <c r="E96" s="2"/>
      <c r="F96" s="3"/>
      <c r="G96" s="1"/>
      <c r="H96" s="1"/>
      <c r="I96" s="1"/>
      <c r="J96" s="1"/>
    </row>
    <row r="97" spans="2:10" s="8" customFormat="1" x14ac:dyDescent="0.25">
      <c r="B97" s="1"/>
      <c r="C97" s="1"/>
      <c r="D97" s="1"/>
      <c r="E97" s="2"/>
      <c r="F97" s="3"/>
      <c r="G97" s="1"/>
      <c r="H97" s="1"/>
      <c r="I97" s="1"/>
      <c r="J97" s="1"/>
    </row>
    <row r="98" spans="2:10" s="8" customFormat="1" x14ac:dyDescent="0.25">
      <c r="B98" s="1"/>
      <c r="C98" s="1"/>
      <c r="D98" s="1"/>
      <c r="E98" s="2"/>
      <c r="F98" s="3"/>
      <c r="G98" s="1"/>
      <c r="H98" s="1"/>
      <c r="I98" s="1"/>
      <c r="J98" s="1"/>
    </row>
    <row r="99" spans="2:10" s="8" customFormat="1" x14ac:dyDescent="0.25">
      <c r="B99" s="1"/>
      <c r="C99" s="1"/>
      <c r="D99" s="1"/>
      <c r="E99" s="2"/>
      <c r="F99" s="3"/>
      <c r="G99" s="1"/>
      <c r="H99" s="1"/>
      <c r="I99" s="1"/>
      <c r="J99" s="1"/>
    </row>
    <row r="100" spans="2:10" s="8" customFormat="1" x14ac:dyDescent="0.25">
      <c r="B100" s="1"/>
      <c r="C100" s="1"/>
      <c r="D100" s="1"/>
      <c r="E100" s="2"/>
      <c r="F100" s="3"/>
      <c r="G100" s="1"/>
      <c r="H100" s="1"/>
      <c r="I100" s="1"/>
      <c r="J100" s="1"/>
    </row>
    <row r="101" spans="2:10" s="8" customFormat="1" x14ac:dyDescent="0.25">
      <c r="B101" s="1"/>
      <c r="C101" s="1"/>
      <c r="D101" s="1"/>
      <c r="E101" s="2"/>
      <c r="F101" s="3"/>
      <c r="G101" s="1"/>
      <c r="H101" s="1"/>
      <c r="I101" s="1"/>
      <c r="J101" s="1"/>
    </row>
    <row r="102" spans="2:10" s="8" customFormat="1" x14ac:dyDescent="0.25">
      <c r="B102" s="1"/>
      <c r="C102" s="1"/>
      <c r="D102" s="1"/>
      <c r="E102" s="2"/>
      <c r="F102" s="3"/>
      <c r="G102" s="1"/>
      <c r="H102" s="1"/>
      <c r="I102" s="1"/>
      <c r="J102" s="1"/>
    </row>
    <row r="103" spans="2:10" s="8" customFormat="1" x14ac:dyDescent="0.25">
      <c r="B103" s="1"/>
      <c r="C103" s="1"/>
      <c r="D103" s="1"/>
      <c r="E103" s="2"/>
      <c r="F103" s="3"/>
      <c r="G103" s="1"/>
      <c r="H103" s="1"/>
      <c r="I103" s="1"/>
      <c r="J103" s="1"/>
    </row>
    <row r="104" spans="2:10" s="8" customFormat="1" x14ac:dyDescent="0.25">
      <c r="B104" s="1"/>
      <c r="C104" s="1"/>
      <c r="D104" s="1"/>
      <c r="E104" s="2"/>
      <c r="F104" s="3"/>
      <c r="G104" s="1"/>
      <c r="H104" s="1"/>
      <c r="I104" s="1"/>
      <c r="J104" s="1"/>
    </row>
    <row r="105" spans="2:10" s="8" customFormat="1" x14ac:dyDescent="0.25">
      <c r="B105" s="1"/>
      <c r="C105" s="1"/>
      <c r="D105" s="1"/>
      <c r="E105" s="2"/>
      <c r="F105" s="3"/>
      <c r="G105" s="1"/>
      <c r="H105" s="1"/>
      <c r="I105" s="1"/>
      <c r="J105" s="1"/>
    </row>
    <row r="106" spans="2:10" s="8" customFormat="1" x14ac:dyDescent="0.25">
      <c r="B106" s="1"/>
      <c r="C106" s="1"/>
      <c r="D106" s="1"/>
      <c r="E106" s="2"/>
      <c r="F106" s="3"/>
      <c r="G106" s="1"/>
      <c r="H106" s="1"/>
      <c r="I106" s="1"/>
      <c r="J106" s="1"/>
    </row>
    <row r="107" spans="2:10" s="8" customFormat="1" x14ac:dyDescent="0.25">
      <c r="B107" s="1"/>
      <c r="C107" s="1"/>
      <c r="D107" s="1"/>
      <c r="E107" s="2"/>
      <c r="F107" s="3"/>
      <c r="G107" s="1"/>
      <c r="H107" s="1"/>
      <c r="I107" s="1"/>
      <c r="J107" s="1"/>
    </row>
    <row r="108" spans="2:10" s="8" customFormat="1" x14ac:dyDescent="0.25">
      <c r="B108" s="1"/>
      <c r="C108" s="1"/>
      <c r="D108" s="1"/>
      <c r="E108" s="2"/>
      <c r="F108" s="3"/>
      <c r="G108" s="1"/>
      <c r="H108" s="1"/>
      <c r="I108" s="1"/>
      <c r="J108" s="1"/>
    </row>
    <row r="109" spans="2:10" s="8" customFormat="1" x14ac:dyDescent="0.25">
      <c r="B109" s="1"/>
      <c r="C109" s="1"/>
      <c r="D109" s="1"/>
      <c r="E109" s="2"/>
      <c r="F109" s="3"/>
      <c r="G109" s="1"/>
      <c r="H109" s="1"/>
      <c r="I109" s="1"/>
      <c r="J109" s="1"/>
    </row>
    <row r="110" spans="2:10" s="8" customFormat="1" x14ac:dyDescent="0.25">
      <c r="B110" s="1"/>
      <c r="C110" s="1"/>
      <c r="D110" s="1"/>
      <c r="E110" s="2"/>
      <c r="F110" s="3"/>
      <c r="G110" s="1"/>
      <c r="H110" s="1"/>
      <c r="I110" s="1"/>
      <c r="J110" s="1"/>
    </row>
    <row r="111" spans="2:10" s="8" customFormat="1" x14ac:dyDescent="0.25">
      <c r="B111" s="1"/>
      <c r="C111" s="1"/>
      <c r="D111" s="1"/>
      <c r="E111" s="2"/>
      <c r="F111" s="3"/>
      <c r="G111" s="1"/>
      <c r="H111" s="1"/>
      <c r="I111" s="1"/>
      <c r="J111" s="1"/>
    </row>
    <row r="112" spans="2:10" s="8" customFormat="1" x14ac:dyDescent="0.25">
      <c r="B112" s="1"/>
      <c r="C112" s="1"/>
      <c r="D112" s="1"/>
      <c r="E112" s="2"/>
      <c r="F112" s="3"/>
      <c r="G112" s="1"/>
      <c r="H112" s="1"/>
      <c r="I112" s="1"/>
      <c r="J112" s="1"/>
    </row>
    <row r="113" spans="2:10" s="8" customFormat="1" x14ac:dyDescent="0.25">
      <c r="B113" s="1"/>
      <c r="C113" s="1"/>
      <c r="D113" s="1"/>
      <c r="E113" s="2"/>
      <c r="F113" s="3"/>
      <c r="G113" s="1"/>
      <c r="H113" s="1"/>
      <c r="I113" s="1"/>
      <c r="J113" s="1"/>
    </row>
    <row r="114" spans="2:10" s="8" customFormat="1" x14ac:dyDescent="0.25">
      <c r="B114" s="1"/>
      <c r="C114" s="1"/>
      <c r="D114" s="1"/>
      <c r="E114" s="2"/>
      <c r="F114" s="3"/>
      <c r="G114" s="1"/>
      <c r="H114" s="1"/>
      <c r="I114" s="1"/>
      <c r="J114" s="1"/>
    </row>
    <row r="115" spans="2:10" s="8" customFormat="1" x14ac:dyDescent="0.25">
      <c r="B115" s="1"/>
      <c r="C115" s="1"/>
      <c r="D115" s="1"/>
      <c r="E115" s="2"/>
      <c r="F115" s="3"/>
      <c r="G115" s="1"/>
      <c r="H115" s="1"/>
      <c r="I115" s="1"/>
      <c r="J115" s="1"/>
    </row>
    <row r="116" spans="2:10" s="8" customFormat="1" x14ac:dyDescent="0.25">
      <c r="B116" s="1"/>
      <c r="C116" s="1"/>
      <c r="D116" s="1"/>
      <c r="E116" s="2"/>
      <c r="F116" s="3"/>
      <c r="G116" s="1"/>
      <c r="H116" s="1"/>
      <c r="I116" s="1"/>
      <c r="J116" s="1"/>
    </row>
    <row r="117" spans="2:10" s="8" customFormat="1" x14ac:dyDescent="0.25">
      <c r="B117" s="1"/>
      <c r="C117" s="1"/>
      <c r="D117" s="1"/>
      <c r="E117" s="2"/>
      <c r="F117" s="3"/>
      <c r="G117" s="1"/>
      <c r="H117" s="1"/>
      <c r="I117" s="1"/>
      <c r="J117" s="1"/>
    </row>
    <row r="118" spans="2:10" s="8" customFormat="1" x14ac:dyDescent="0.25">
      <c r="B118" s="1"/>
      <c r="C118" s="1"/>
      <c r="D118" s="1"/>
      <c r="E118" s="2"/>
      <c r="F118" s="3"/>
      <c r="G118" s="1"/>
      <c r="H118" s="1"/>
      <c r="I118" s="1"/>
      <c r="J118" s="1"/>
    </row>
    <row r="119" spans="2:10" s="8" customFormat="1" x14ac:dyDescent="0.25">
      <c r="B119" s="1"/>
      <c r="C119" s="1"/>
      <c r="D119" s="1"/>
      <c r="E119" s="2"/>
      <c r="F119" s="3"/>
      <c r="G119" s="1"/>
      <c r="H119" s="1"/>
      <c r="I119" s="1"/>
      <c r="J119" s="1"/>
    </row>
    <row r="120" spans="2:10" s="8" customFormat="1" x14ac:dyDescent="0.25">
      <c r="B120" s="1"/>
      <c r="C120" s="1"/>
      <c r="D120" s="1"/>
      <c r="E120" s="2"/>
      <c r="F120" s="3"/>
      <c r="G120" s="1"/>
      <c r="H120" s="1"/>
      <c r="I120" s="1"/>
      <c r="J120" s="1"/>
    </row>
    <row r="121" spans="2:10" s="8" customFormat="1" x14ac:dyDescent="0.25">
      <c r="B121" s="1"/>
      <c r="C121" s="1"/>
      <c r="D121" s="1"/>
      <c r="E121" s="2"/>
      <c r="F121" s="3"/>
      <c r="G121" s="1"/>
      <c r="H121" s="1"/>
      <c r="I121" s="1"/>
      <c r="J121" s="1"/>
    </row>
    <row r="122" spans="2:10" s="8" customFormat="1" x14ac:dyDescent="0.25">
      <c r="B122" s="1"/>
      <c r="C122" s="1"/>
      <c r="D122" s="1"/>
      <c r="E122" s="2"/>
      <c r="F122" s="3"/>
      <c r="G122" s="1"/>
      <c r="H122" s="1"/>
      <c r="I122" s="1"/>
      <c r="J122" s="1"/>
    </row>
    <row r="123" spans="2:10" s="8" customFormat="1" x14ac:dyDescent="0.25">
      <c r="B123" s="1"/>
      <c r="C123" s="1"/>
      <c r="D123" s="1"/>
      <c r="E123" s="2"/>
      <c r="F123" s="3"/>
      <c r="G123" s="1"/>
      <c r="H123" s="1"/>
      <c r="I123" s="1"/>
      <c r="J123" s="1"/>
    </row>
    <row r="124" spans="2:10" s="8" customFormat="1" x14ac:dyDescent="0.25">
      <c r="B124" s="1"/>
      <c r="C124" s="1"/>
      <c r="D124" s="1"/>
      <c r="E124" s="2"/>
      <c r="F124" s="3"/>
      <c r="G124" s="1"/>
      <c r="H124" s="1"/>
      <c r="I124" s="1"/>
      <c r="J124" s="1"/>
    </row>
    <row r="125" spans="2:10" s="8" customFormat="1" x14ac:dyDescent="0.25">
      <c r="B125" s="1"/>
      <c r="C125" s="1"/>
      <c r="D125" s="1"/>
      <c r="E125" s="2"/>
      <c r="F125" s="3"/>
      <c r="G125" s="1"/>
      <c r="H125" s="1"/>
      <c r="I125" s="1"/>
      <c r="J125" s="1"/>
    </row>
    <row r="126" spans="2:10" s="8" customFormat="1" x14ac:dyDescent="0.25">
      <c r="B126" s="1"/>
      <c r="C126" s="1"/>
      <c r="D126" s="1"/>
      <c r="E126" s="2"/>
      <c r="F126" s="3"/>
      <c r="G126" s="1"/>
      <c r="H126" s="1"/>
      <c r="I126" s="1"/>
      <c r="J126" s="1"/>
    </row>
    <row r="127" spans="2:10" s="8" customFormat="1" x14ac:dyDescent="0.25">
      <c r="B127" s="1"/>
      <c r="C127" s="1"/>
      <c r="D127" s="1"/>
      <c r="E127" s="2"/>
      <c r="F127" s="3"/>
      <c r="G127" s="1"/>
      <c r="H127" s="1"/>
      <c r="I127" s="1"/>
      <c r="J127" s="1"/>
    </row>
    <row r="128" spans="2:10" s="8" customFormat="1" x14ac:dyDescent="0.25">
      <c r="B128" s="1"/>
      <c r="C128" s="1"/>
      <c r="D128" s="1"/>
      <c r="E128" s="2"/>
      <c r="F128" s="3"/>
      <c r="G128" s="1"/>
      <c r="H128" s="1"/>
      <c r="I128" s="1"/>
      <c r="J128" s="1"/>
    </row>
    <row r="129" spans="2:10" s="8" customFormat="1" x14ac:dyDescent="0.25">
      <c r="B129" s="1"/>
      <c r="C129" s="1"/>
      <c r="D129" s="1"/>
      <c r="E129" s="2"/>
      <c r="F129" s="3"/>
      <c r="G129" s="1"/>
      <c r="H129" s="1"/>
      <c r="I129" s="1"/>
      <c r="J129" s="1"/>
    </row>
    <row r="130" spans="2:10" s="8" customFormat="1" x14ac:dyDescent="0.25">
      <c r="B130" s="1"/>
      <c r="C130" s="1"/>
      <c r="D130" s="1"/>
      <c r="E130" s="2"/>
      <c r="F130" s="3"/>
      <c r="G130" s="1"/>
      <c r="H130" s="1"/>
      <c r="I130" s="1"/>
      <c r="J130" s="1"/>
    </row>
    <row r="131" spans="2:10" s="8" customFormat="1" x14ac:dyDescent="0.25">
      <c r="B131" s="1"/>
      <c r="C131" s="1"/>
      <c r="D131" s="1"/>
      <c r="E131" s="2"/>
      <c r="F131" s="3"/>
      <c r="G131" s="1"/>
      <c r="H131" s="1"/>
      <c r="I131" s="1"/>
      <c r="J131" s="1"/>
    </row>
    <row r="132" spans="2:10" s="8" customFormat="1" x14ac:dyDescent="0.25">
      <c r="B132" s="1"/>
      <c r="C132" s="1"/>
      <c r="D132" s="1"/>
      <c r="E132" s="2"/>
      <c r="F132" s="3"/>
      <c r="G132" s="1"/>
      <c r="H132" s="1"/>
      <c r="I132" s="1"/>
      <c r="J132" s="1"/>
    </row>
    <row r="133" spans="2:10" s="8" customFormat="1" x14ac:dyDescent="0.25">
      <c r="B133" s="1"/>
      <c r="C133" s="1"/>
      <c r="D133" s="1"/>
      <c r="E133" s="2"/>
      <c r="F133" s="3"/>
      <c r="G133" s="1"/>
      <c r="H133" s="1"/>
      <c r="I133" s="1"/>
      <c r="J133" s="1"/>
    </row>
    <row r="134" spans="2:10" s="8" customFormat="1" x14ac:dyDescent="0.25">
      <c r="B134" s="1"/>
      <c r="C134" s="1"/>
      <c r="D134" s="1"/>
      <c r="E134" s="2"/>
      <c r="F134" s="3"/>
      <c r="G134" s="1"/>
      <c r="H134" s="1"/>
      <c r="I134" s="1"/>
      <c r="J134" s="1"/>
    </row>
    <row r="135" spans="2:10" s="8" customFormat="1" x14ac:dyDescent="0.25">
      <c r="B135" s="1"/>
      <c r="C135" s="1"/>
      <c r="D135" s="1"/>
      <c r="E135" s="2"/>
      <c r="F135" s="3"/>
      <c r="G135" s="1"/>
      <c r="H135" s="1"/>
      <c r="I135" s="1"/>
      <c r="J135" s="1"/>
    </row>
    <row r="136" spans="2:10" s="8" customFormat="1" x14ac:dyDescent="0.25">
      <c r="B136" s="1"/>
      <c r="C136" s="1"/>
      <c r="D136" s="1"/>
      <c r="E136" s="2"/>
      <c r="F136" s="3"/>
      <c r="G136" s="1"/>
      <c r="H136" s="1"/>
      <c r="I136" s="1"/>
      <c r="J136" s="1"/>
    </row>
    <row r="137" spans="2:10" s="8" customFormat="1" x14ac:dyDescent="0.25">
      <c r="B137" s="1"/>
      <c r="C137" s="1"/>
      <c r="D137" s="1"/>
      <c r="E137" s="2"/>
      <c r="F137" s="3"/>
      <c r="G137" s="1"/>
      <c r="H137" s="1"/>
      <c r="I137" s="1"/>
      <c r="J137" s="1"/>
    </row>
    <row r="138" spans="2:10" s="8" customFormat="1" x14ac:dyDescent="0.25">
      <c r="B138" s="1"/>
      <c r="C138" s="1"/>
      <c r="D138" s="1"/>
      <c r="E138" s="2"/>
      <c r="F138" s="3"/>
      <c r="G138" s="1"/>
      <c r="H138" s="1"/>
      <c r="I138" s="1"/>
      <c r="J138" s="1"/>
    </row>
    <row r="139" spans="2:10" s="8" customFormat="1" x14ac:dyDescent="0.25">
      <c r="B139" s="1"/>
      <c r="C139" s="1"/>
      <c r="D139" s="1"/>
      <c r="E139" s="2"/>
      <c r="F139" s="3"/>
      <c r="G139" s="1"/>
      <c r="H139" s="1"/>
      <c r="I139" s="1"/>
      <c r="J139" s="1"/>
    </row>
    <row r="140" spans="2:10" s="8" customFormat="1" x14ac:dyDescent="0.25">
      <c r="B140" s="1"/>
      <c r="C140" s="1"/>
      <c r="D140" s="1"/>
      <c r="E140" s="2"/>
      <c r="F140" s="3"/>
      <c r="G140" s="1"/>
      <c r="H140" s="1"/>
      <c r="I140" s="1"/>
      <c r="J140" s="1"/>
    </row>
    <row r="141" spans="2:10" s="8" customFormat="1" x14ac:dyDescent="0.25">
      <c r="B141" s="1"/>
      <c r="C141" s="1"/>
      <c r="D141" s="1"/>
      <c r="E141" s="2"/>
      <c r="F141" s="3"/>
      <c r="G141" s="1"/>
      <c r="H141" s="1"/>
      <c r="I141" s="1"/>
      <c r="J141" s="1"/>
    </row>
    <row r="142" spans="2:10" s="8" customFormat="1" x14ac:dyDescent="0.25">
      <c r="B142" s="1"/>
      <c r="C142" s="1"/>
      <c r="D142" s="1"/>
      <c r="E142" s="2"/>
      <c r="F142" s="3"/>
      <c r="G142" s="1"/>
      <c r="H142" s="1"/>
      <c r="I142" s="1"/>
      <c r="J142" s="1"/>
    </row>
    <row r="143" spans="2:10" s="8" customFormat="1" x14ac:dyDescent="0.25">
      <c r="B143" s="1"/>
      <c r="C143" s="1"/>
      <c r="D143" s="1"/>
      <c r="E143" s="2"/>
      <c r="F143" s="3"/>
      <c r="G143" s="1"/>
      <c r="H143" s="1"/>
      <c r="I143" s="1"/>
      <c r="J143" s="1"/>
    </row>
    <row r="144" spans="2:10" s="8" customFormat="1" x14ac:dyDescent="0.25">
      <c r="B144" s="1"/>
      <c r="C144" s="1"/>
      <c r="D144" s="1"/>
      <c r="E144" s="2"/>
      <c r="F144" s="3"/>
      <c r="G144" s="1"/>
      <c r="H144" s="1"/>
      <c r="I144" s="1"/>
      <c r="J144" s="1"/>
    </row>
    <row r="145" spans="2:19" s="8" customFormat="1" x14ac:dyDescent="0.25">
      <c r="B145" s="1"/>
      <c r="C145" s="1"/>
      <c r="D145" s="1"/>
      <c r="E145" s="2"/>
      <c r="F145" s="3"/>
      <c r="G145" s="1"/>
      <c r="H145" s="1"/>
      <c r="I145" s="1"/>
      <c r="J145" s="1"/>
    </row>
    <row r="146" spans="2:19" s="8" customFormat="1" x14ac:dyDescent="0.25">
      <c r="B146" s="1"/>
      <c r="C146" s="1"/>
      <c r="D146" s="1"/>
      <c r="E146" s="2"/>
      <c r="F146" s="3"/>
      <c r="G146" s="1"/>
      <c r="H146" s="1"/>
      <c r="I146" s="1"/>
      <c r="J146" s="1"/>
    </row>
    <row r="147" spans="2:19" s="8" customFormat="1" x14ac:dyDescent="0.25">
      <c r="B147" s="1"/>
      <c r="C147" s="1"/>
      <c r="D147" s="1"/>
      <c r="E147" s="2"/>
      <c r="F147" s="3"/>
      <c r="G147" s="1"/>
      <c r="H147" s="1"/>
      <c r="I147" s="1"/>
      <c r="J147" s="1"/>
    </row>
    <row r="148" spans="2:19" s="8" customFormat="1" x14ac:dyDescent="0.25">
      <c r="B148" s="1"/>
      <c r="C148" s="1"/>
      <c r="D148" s="1"/>
      <c r="E148" s="2"/>
      <c r="F148" s="3"/>
      <c r="G148" s="1"/>
      <c r="H148" s="1"/>
      <c r="I148" s="1"/>
      <c r="J148" s="1"/>
    </row>
    <row r="149" spans="2:19" s="8" customFormat="1" x14ac:dyDescent="0.25">
      <c r="B149" s="1"/>
      <c r="C149" s="1"/>
      <c r="D149" s="1"/>
      <c r="E149" s="2"/>
      <c r="F149" s="3"/>
      <c r="G149" s="1"/>
      <c r="H149" s="1"/>
      <c r="I149" s="1"/>
      <c r="J149" s="1"/>
      <c r="R149" s="1"/>
      <c r="S149" s="1"/>
    </row>
    <row r="150" spans="2:19" s="8" customFormat="1" x14ac:dyDescent="0.25">
      <c r="B150" s="1"/>
      <c r="C150" s="1"/>
      <c r="D150" s="1"/>
      <c r="E150" s="2"/>
      <c r="F150" s="3"/>
      <c r="G150" s="1"/>
      <c r="H150" s="1"/>
      <c r="I150" s="1"/>
      <c r="J150" s="1"/>
      <c r="L150" s="1"/>
      <c r="M150" s="1"/>
      <c r="N150" s="1"/>
      <c r="O150" s="1"/>
      <c r="P150" s="1"/>
      <c r="Q150" s="1"/>
    </row>
    <row r="151" spans="2:19" s="8" customFormat="1" x14ac:dyDescent="0.25">
      <c r="B151" s="1"/>
      <c r="C151" s="1"/>
      <c r="D151" s="1"/>
      <c r="E151" s="2"/>
      <c r="F151" s="3"/>
      <c r="G151" s="1"/>
      <c r="H151" s="1"/>
      <c r="I151" s="1"/>
      <c r="J151" s="1"/>
      <c r="R151" s="1"/>
      <c r="S151" s="1"/>
    </row>
    <row r="152" spans="2:19" s="8" customFormat="1" x14ac:dyDescent="0.25">
      <c r="B152" s="1"/>
      <c r="C152" s="1"/>
      <c r="D152" s="1"/>
      <c r="E152" s="2"/>
      <c r="F152" s="3"/>
      <c r="G152" s="1"/>
      <c r="H152" s="1"/>
      <c r="I152" s="1"/>
      <c r="J152" s="1"/>
      <c r="L152" s="1"/>
      <c r="M152" s="1"/>
      <c r="N152" s="1"/>
      <c r="O152" s="1"/>
      <c r="P152" s="1"/>
      <c r="Q152" s="1"/>
      <c r="R152" s="1"/>
      <c r="S152" s="1"/>
    </row>
    <row r="153" spans="2:19" s="8" customFormat="1" x14ac:dyDescent="0.25">
      <c r="B153" s="1"/>
      <c r="C153" s="1"/>
      <c r="D153" s="1"/>
      <c r="E153" s="2"/>
      <c r="F153" s="3"/>
      <c r="G153" s="1"/>
      <c r="H153" s="1"/>
      <c r="I153" s="1"/>
      <c r="J153" s="1"/>
      <c r="L153" s="1"/>
      <c r="M153" s="1"/>
      <c r="N153" s="1"/>
      <c r="O153" s="1"/>
      <c r="P153" s="1"/>
      <c r="Q153" s="1"/>
      <c r="R153" s="1"/>
      <c r="S153" s="1"/>
    </row>
    <row r="154" spans="2:19" s="8" customFormat="1" x14ac:dyDescent="0.25">
      <c r="B154" s="1"/>
      <c r="C154" s="1"/>
      <c r="D154" s="1"/>
      <c r="E154" s="2"/>
      <c r="F154" s="3"/>
      <c r="G154" s="1"/>
      <c r="H154" s="1"/>
      <c r="I154" s="1"/>
      <c r="J154" s="1"/>
      <c r="L154" s="1"/>
      <c r="M154" s="1"/>
      <c r="N154" s="1"/>
      <c r="O154" s="1"/>
      <c r="P154" s="1"/>
      <c r="Q154" s="1"/>
      <c r="R154" s="1"/>
      <c r="S154" s="1"/>
    </row>
    <row r="155" spans="2:19" s="8" customFormat="1" x14ac:dyDescent="0.25">
      <c r="B155" s="1"/>
      <c r="C155" s="1"/>
      <c r="D155" s="1"/>
      <c r="E155" s="2"/>
      <c r="F155" s="3"/>
      <c r="G155" s="1"/>
      <c r="H155" s="1"/>
      <c r="I155" s="1"/>
      <c r="J155" s="1"/>
      <c r="L155" s="1"/>
      <c r="M155" s="1"/>
      <c r="N155" s="1"/>
      <c r="O155" s="1"/>
      <c r="P155" s="1"/>
      <c r="Q155" s="1"/>
      <c r="R155" s="1"/>
      <c r="S155" s="1"/>
    </row>
    <row r="156" spans="2:19" s="8" customFormat="1" x14ac:dyDescent="0.25">
      <c r="B156" s="1"/>
      <c r="C156" s="1"/>
      <c r="D156" s="1"/>
      <c r="E156" s="2"/>
      <c r="F156" s="3"/>
      <c r="G156" s="1"/>
      <c r="H156" s="1"/>
      <c r="I156" s="1"/>
      <c r="J156" s="1"/>
      <c r="L156" s="1"/>
      <c r="M156" s="1"/>
      <c r="N156" s="1"/>
      <c r="O156" s="1"/>
      <c r="P156" s="1"/>
      <c r="Q156" s="1"/>
      <c r="R156" s="1"/>
      <c r="S156" s="1"/>
    </row>
    <row r="157" spans="2:19" s="8" customFormat="1" x14ac:dyDescent="0.25">
      <c r="B157" s="1"/>
      <c r="C157" s="1"/>
      <c r="D157" s="1"/>
      <c r="E157" s="2"/>
      <c r="F157" s="3"/>
      <c r="G157" s="1"/>
      <c r="H157" s="1"/>
      <c r="I157" s="1"/>
      <c r="J157" s="1"/>
      <c r="L157" s="1"/>
      <c r="M157" s="1"/>
      <c r="N157" s="1"/>
      <c r="O157" s="1"/>
      <c r="P157" s="1"/>
      <c r="Q157" s="1"/>
      <c r="R157" s="1"/>
      <c r="S157" s="1"/>
    </row>
    <row r="159" spans="2:19" s="8" customFormat="1" ht="21.75" customHeight="1" x14ac:dyDescent="0.25">
      <c r="B159" s="1"/>
      <c r="C159" s="1"/>
      <c r="D159" s="1"/>
      <c r="E159" s="2"/>
      <c r="F159" s="3"/>
      <c r="G159" s="1"/>
      <c r="H159" s="1"/>
      <c r="I159" s="1"/>
      <c r="J159" s="1"/>
      <c r="L159" s="1"/>
      <c r="M159" s="1"/>
      <c r="N159" s="1"/>
      <c r="O159" s="1"/>
      <c r="P159" s="1"/>
      <c r="Q159" s="1"/>
      <c r="R159" s="1"/>
      <c r="S159" s="1"/>
    </row>
  </sheetData>
  <mergeCells count="18">
    <mergeCell ref="B7:C7"/>
    <mergeCell ref="D7:J7"/>
    <mergeCell ref="L7:M7"/>
    <mergeCell ref="B5:C5"/>
    <mergeCell ref="D5:J5"/>
    <mergeCell ref="L5:M5"/>
    <mergeCell ref="B6:C6"/>
    <mergeCell ref="B2:J2"/>
    <mergeCell ref="B4:C4"/>
    <mergeCell ref="D4:J4"/>
    <mergeCell ref="L4:M4"/>
    <mergeCell ref="L2:T2"/>
    <mergeCell ref="N4:T4"/>
    <mergeCell ref="D6:J6"/>
    <mergeCell ref="L6:M6"/>
    <mergeCell ref="N5:T5"/>
    <mergeCell ref="N6:T6"/>
    <mergeCell ref="N7:T7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A1DD-9260-434B-8072-798DF3AEDC8A}">
  <sheetPr>
    <pageSetUpPr fitToPage="1"/>
  </sheetPr>
  <dimension ref="B1:T159"/>
  <sheetViews>
    <sheetView tabSelected="1" topLeftCell="F1" workbookViewId="0">
      <selection activeCell="P16" sqref="P16"/>
    </sheetView>
  </sheetViews>
  <sheetFormatPr defaultRowHeight="14.25" x14ac:dyDescent="0.25"/>
  <cols>
    <col min="1" max="1" width="5.85546875" style="1" customWidth="1"/>
    <col min="2" max="2" width="13.5703125" style="1" customWidth="1"/>
    <col min="3" max="3" width="22.7109375" style="1" customWidth="1"/>
    <col min="4" max="4" width="42.7109375" style="1" customWidth="1"/>
    <col min="5" max="5" width="8.85546875" style="2" bestFit="1" customWidth="1"/>
    <col min="6" max="6" width="8.7109375" style="3" customWidth="1"/>
    <col min="7" max="7" width="10.28515625" style="1" customWidth="1"/>
    <col min="8" max="8" width="11.7109375" style="1" customWidth="1"/>
    <col min="9" max="9" width="9" style="1" customWidth="1"/>
    <col min="10" max="10" width="13.28515625" style="1" customWidth="1"/>
    <col min="11" max="11" width="1.5703125" style="1" customWidth="1"/>
    <col min="12" max="12" width="11.5703125" style="1" bestFit="1" customWidth="1"/>
    <col min="13" max="13" width="36.7109375" style="1" customWidth="1"/>
    <col min="14" max="14" width="12.28515625" style="1" customWidth="1"/>
    <col min="15" max="15" width="9.140625" style="1"/>
    <col min="16" max="16" width="10.7109375" style="1" customWidth="1"/>
    <col min="17" max="17" width="9.5703125" style="1" customWidth="1"/>
    <col min="18" max="215" width="9.140625" style="1"/>
    <col min="216" max="216" width="11.42578125" style="1" customWidth="1"/>
    <col min="217" max="217" width="25.140625" style="1" customWidth="1"/>
    <col min="218" max="218" width="42.7109375" style="1" customWidth="1"/>
    <col min="219" max="219" width="9.28515625" style="1" customWidth="1"/>
    <col min="220" max="220" width="13.85546875" style="1" customWidth="1"/>
    <col min="221" max="221" width="10.42578125" style="1" customWidth="1"/>
    <col min="222" max="222" width="16.7109375" style="1" customWidth="1"/>
    <col min="223" max="223" width="16.28515625" style="1" customWidth="1"/>
    <col min="224" max="224" width="14.42578125" style="1" customWidth="1"/>
    <col min="225" max="225" width="14.85546875" style="1" customWidth="1"/>
    <col min="226" max="226" width="13" style="1" customWidth="1"/>
    <col min="227" max="227" width="18.7109375" style="1" customWidth="1"/>
    <col min="228" max="228" width="6" style="1" customWidth="1"/>
    <col min="229" max="229" width="15.28515625" style="1" customWidth="1"/>
    <col min="230" max="230" width="28" style="1" customWidth="1"/>
    <col min="231" max="231" width="13.5703125" style="1" customWidth="1"/>
    <col min="232" max="232" width="15.5703125" style="1" customWidth="1"/>
    <col min="233" max="233" width="8.85546875" style="1" customWidth="1"/>
    <col min="234" max="234" width="15.28515625" style="1" customWidth="1"/>
    <col min="235" max="235" width="15.7109375" style="1" customWidth="1"/>
    <col min="236" max="238" width="17.140625" style="1" customWidth="1"/>
    <col min="239" max="239" width="35.7109375" style="1" customWidth="1"/>
    <col min="240" max="240" width="28.5703125" style="1" customWidth="1"/>
    <col min="241" max="241" width="17.140625" style="1" customWidth="1"/>
    <col min="242" max="242" width="28.5703125" style="1" customWidth="1"/>
    <col min="243" max="471" width="9.140625" style="1"/>
    <col min="472" max="472" width="11.42578125" style="1" customWidth="1"/>
    <col min="473" max="473" width="25.140625" style="1" customWidth="1"/>
    <col min="474" max="474" width="42.7109375" style="1" customWidth="1"/>
    <col min="475" max="475" width="9.28515625" style="1" customWidth="1"/>
    <col min="476" max="476" width="13.85546875" style="1" customWidth="1"/>
    <col min="477" max="477" width="10.42578125" style="1" customWidth="1"/>
    <col min="478" max="478" width="16.7109375" style="1" customWidth="1"/>
    <col min="479" max="479" width="16.28515625" style="1" customWidth="1"/>
    <col min="480" max="480" width="14.42578125" style="1" customWidth="1"/>
    <col min="481" max="481" width="14.85546875" style="1" customWidth="1"/>
    <col min="482" max="482" width="13" style="1" customWidth="1"/>
    <col min="483" max="483" width="18.7109375" style="1" customWidth="1"/>
    <col min="484" max="484" width="6" style="1" customWidth="1"/>
    <col min="485" max="485" width="15.28515625" style="1" customWidth="1"/>
    <col min="486" max="486" width="28" style="1" customWidth="1"/>
    <col min="487" max="487" width="13.5703125" style="1" customWidth="1"/>
    <col min="488" max="488" width="15.5703125" style="1" customWidth="1"/>
    <col min="489" max="489" width="8.85546875" style="1" customWidth="1"/>
    <col min="490" max="490" width="15.28515625" style="1" customWidth="1"/>
    <col min="491" max="491" width="15.7109375" style="1" customWidth="1"/>
    <col min="492" max="494" width="17.140625" style="1" customWidth="1"/>
    <col min="495" max="495" width="35.7109375" style="1" customWidth="1"/>
    <col min="496" max="496" width="28.5703125" style="1" customWidth="1"/>
    <col min="497" max="497" width="17.140625" style="1" customWidth="1"/>
    <col min="498" max="498" width="28.5703125" style="1" customWidth="1"/>
    <col min="499" max="727" width="9.140625" style="1"/>
    <col min="728" max="728" width="11.42578125" style="1" customWidth="1"/>
    <col min="729" max="729" width="25.140625" style="1" customWidth="1"/>
    <col min="730" max="730" width="42.7109375" style="1" customWidth="1"/>
    <col min="731" max="731" width="9.28515625" style="1" customWidth="1"/>
    <col min="732" max="732" width="13.85546875" style="1" customWidth="1"/>
    <col min="733" max="733" width="10.42578125" style="1" customWidth="1"/>
    <col min="734" max="734" width="16.7109375" style="1" customWidth="1"/>
    <col min="735" max="735" width="16.28515625" style="1" customWidth="1"/>
    <col min="736" max="736" width="14.42578125" style="1" customWidth="1"/>
    <col min="737" max="737" width="14.85546875" style="1" customWidth="1"/>
    <col min="738" max="738" width="13" style="1" customWidth="1"/>
    <col min="739" max="739" width="18.7109375" style="1" customWidth="1"/>
    <col min="740" max="740" width="6" style="1" customWidth="1"/>
    <col min="741" max="741" width="15.28515625" style="1" customWidth="1"/>
    <col min="742" max="742" width="28" style="1" customWidth="1"/>
    <col min="743" max="743" width="13.5703125" style="1" customWidth="1"/>
    <col min="744" max="744" width="15.5703125" style="1" customWidth="1"/>
    <col min="745" max="745" width="8.85546875" style="1" customWidth="1"/>
    <col min="746" max="746" width="15.28515625" style="1" customWidth="1"/>
    <col min="747" max="747" width="15.7109375" style="1" customWidth="1"/>
    <col min="748" max="750" width="17.140625" style="1" customWidth="1"/>
    <col min="751" max="751" width="35.7109375" style="1" customWidth="1"/>
    <col min="752" max="752" width="28.5703125" style="1" customWidth="1"/>
    <col min="753" max="753" width="17.140625" style="1" customWidth="1"/>
    <col min="754" max="754" width="28.5703125" style="1" customWidth="1"/>
    <col min="755" max="983" width="9.140625" style="1"/>
    <col min="984" max="984" width="11.42578125" style="1" customWidth="1"/>
    <col min="985" max="985" width="25.140625" style="1" customWidth="1"/>
    <col min="986" max="986" width="42.7109375" style="1" customWidth="1"/>
    <col min="987" max="987" width="9.28515625" style="1" customWidth="1"/>
    <col min="988" max="988" width="13.85546875" style="1" customWidth="1"/>
    <col min="989" max="989" width="10.42578125" style="1" customWidth="1"/>
    <col min="990" max="990" width="16.7109375" style="1" customWidth="1"/>
    <col min="991" max="991" width="16.28515625" style="1" customWidth="1"/>
    <col min="992" max="992" width="14.42578125" style="1" customWidth="1"/>
    <col min="993" max="993" width="14.85546875" style="1" customWidth="1"/>
    <col min="994" max="994" width="13" style="1" customWidth="1"/>
    <col min="995" max="995" width="18.7109375" style="1" customWidth="1"/>
    <col min="996" max="996" width="6" style="1" customWidth="1"/>
    <col min="997" max="997" width="15.28515625" style="1" customWidth="1"/>
    <col min="998" max="998" width="28" style="1" customWidth="1"/>
    <col min="999" max="999" width="13.5703125" style="1" customWidth="1"/>
    <col min="1000" max="1000" width="15.5703125" style="1" customWidth="1"/>
    <col min="1001" max="1001" width="8.85546875" style="1" customWidth="1"/>
    <col min="1002" max="1002" width="15.28515625" style="1" customWidth="1"/>
    <col min="1003" max="1003" width="15.7109375" style="1" customWidth="1"/>
    <col min="1004" max="1006" width="17.140625" style="1" customWidth="1"/>
    <col min="1007" max="1007" width="35.7109375" style="1" customWidth="1"/>
    <col min="1008" max="1008" width="28.5703125" style="1" customWidth="1"/>
    <col min="1009" max="1009" width="17.140625" style="1" customWidth="1"/>
    <col min="1010" max="1010" width="28.5703125" style="1" customWidth="1"/>
    <col min="1011" max="1239" width="9.140625" style="1"/>
    <col min="1240" max="1240" width="11.42578125" style="1" customWidth="1"/>
    <col min="1241" max="1241" width="25.140625" style="1" customWidth="1"/>
    <col min="1242" max="1242" width="42.7109375" style="1" customWidth="1"/>
    <col min="1243" max="1243" width="9.28515625" style="1" customWidth="1"/>
    <col min="1244" max="1244" width="13.85546875" style="1" customWidth="1"/>
    <col min="1245" max="1245" width="10.42578125" style="1" customWidth="1"/>
    <col min="1246" max="1246" width="16.7109375" style="1" customWidth="1"/>
    <col min="1247" max="1247" width="16.28515625" style="1" customWidth="1"/>
    <col min="1248" max="1248" width="14.42578125" style="1" customWidth="1"/>
    <col min="1249" max="1249" width="14.85546875" style="1" customWidth="1"/>
    <col min="1250" max="1250" width="13" style="1" customWidth="1"/>
    <col min="1251" max="1251" width="18.7109375" style="1" customWidth="1"/>
    <col min="1252" max="1252" width="6" style="1" customWidth="1"/>
    <col min="1253" max="1253" width="15.28515625" style="1" customWidth="1"/>
    <col min="1254" max="1254" width="28" style="1" customWidth="1"/>
    <col min="1255" max="1255" width="13.5703125" style="1" customWidth="1"/>
    <col min="1256" max="1256" width="15.5703125" style="1" customWidth="1"/>
    <col min="1257" max="1257" width="8.85546875" style="1" customWidth="1"/>
    <col min="1258" max="1258" width="15.28515625" style="1" customWidth="1"/>
    <col min="1259" max="1259" width="15.7109375" style="1" customWidth="1"/>
    <col min="1260" max="1262" width="17.140625" style="1" customWidth="1"/>
    <col min="1263" max="1263" width="35.7109375" style="1" customWidth="1"/>
    <col min="1264" max="1264" width="28.5703125" style="1" customWidth="1"/>
    <col min="1265" max="1265" width="17.140625" style="1" customWidth="1"/>
    <col min="1266" max="1266" width="28.5703125" style="1" customWidth="1"/>
    <col min="1267" max="1495" width="9.140625" style="1"/>
    <col min="1496" max="1496" width="11.42578125" style="1" customWidth="1"/>
    <col min="1497" max="1497" width="25.140625" style="1" customWidth="1"/>
    <col min="1498" max="1498" width="42.7109375" style="1" customWidth="1"/>
    <col min="1499" max="1499" width="9.28515625" style="1" customWidth="1"/>
    <col min="1500" max="1500" width="13.85546875" style="1" customWidth="1"/>
    <col min="1501" max="1501" width="10.42578125" style="1" customWidth="1"/>
    <col min="1502" max="1502" width="16.7109375" style="1" customWidth="1"/>
    <col min="1503" max="1503" width="16.28515625" style="1" customWidth="1"/>
    <col min="1504" max="1504" width="14.42578125" style="1" customWidth="1"/>
    <col min="1505" max="1505" width="14.85546875" style="1" customWidth="1"/>
    <col min="1506" max="1506" width="13" style="1" customWidth="1"/>
    <col min="1507" max="1507" width="18.7109375" style="1" customWidth="1"/>
    <col min="1508" max="1508" width="6" style="1" customWidth="1"/>
    <col min="1509" max="1509" width="15.28515625" style="1" customWidth="1"/>
    <col min="1510" max="1510" width="28" style="1" customWidth="1"/>
    <col min="1511" max="1511" width="13.5703125" style="1" customWidth="1"/>
    <col min="1512" max="1512" width="15.5703125" style="1" customWidth="1"/>
    <col min="1513" max="1513" width="8.85546875" style="1" customWidth="1"/>
    <col min="1514" max="1514" width="15.28515625" style="1" customWidth="1"/>
    <col min="1515" max="1515" width="15.7109375" style="1" customWidth="1"/>
    <col min="1516" max="1518" width="17.140625" style="1" customWidth="1"/>
    <col min="1519" max="1519" width="35.7109375" style="1" customWidth="1"/>
    <col min="1520" max="1520" width="28.5703125" style="1" customWidth="1"/>
    <col min="1521" max="1521" width="17.140625" style="1" customWidth="1"/>
    <col min="1522" max="1522" width="28.5703125" style="1" customWidth="1"/>
    <col min="1523" max="1751" width="9.140625" style="1"/>
    <col min="1752" max="1752" width="11.42578125" style="1" customWidth="1"/>
    <col min="1753" max="1753" width="25.140625" style="1" customWidth="1"/>
    <col min="1754" max="1754" width="42.7109375" style="1" customWidth="1"/>
    <col min="1755" max="1755" width="9.28515625" style="1" customWidth="1"/>
    <col min="1756" max="1756" width="13.85546875" style="1" customWidth="1"/>
    <col min="1757" max="1757" width="10.42578125" style="1" customWidth="1"/>
    <col min="1758" max="1758" width="16.7109375" style="1" customWidth="1"/>
    <col min="1759" max="1759" width="16.28515625" style="1" customWidth="1"/>
    <col min="1760" max="1760" width="14.42578125" style="1" customWidth="1"/>
    <col min="1761" max="1761" width="14.85546875" style="1" customWidth="1"/>
    <col min="1762" max="1762" width="13" style="1" customWidth="1"/>
    <col min="1763" max="1763" width="18.7109375" style="1" customWidth="1"/>
    <col min="1764" max="1764" width="6" style="1" customWidth="1"/>
    <col min="1765" max="1765" width="15.28515625" style="1" customWidth="1"/>
    <col min="1766" max="1766" width="28" style="1" customWidth="1"/>
    <col min="1767" max="1767" width="13.5703125" style="1" customWidth="1"/>
    <col min="1768" max="1768" width="15.5703125" style="1" customWidth="1"/>
    <col min="1769" max="1769" width="8.85546875" style="1" customWidth="1"/>
    <col min="1770" max="1770" width="15.28515625" style="1" customWidth="1"/>
    <col min="1771" max="1771" width="15.7109375" style="1" customWidth="1"/>
    <col min="1772" max="1774" width="17.140625" style="1" customWidth="1"/>
    <col min="1775" max="1775" width="35.7109375" style="1" customWidth="1"/>
    <col min="1776" max="1776" width="28.5703125" style="1" customWidth="1"/>
    <col min="1777" max="1777" width="17.140625" style="1" customWidth="1"/>
    <col min="1778" max="1778" width="28.5703125" style="1" customWidth="1"/>
    <col min="1779" max="2007" width="9.140625" style="1"/>
    <col min="2008" max="2008" width="11.42578125" style="1" customWidth="1"/>
    <col min="2009" max="2009" width="25.140625" style="1" customWidth="1"/>
    <col min="2010" max="2010" width="42.7109375" style="1" customWidth="1"/>
    <col min="2011" max="2011" width="9.28515625" style="1" customWidth="1"/>
    <col min="2012" max="2012" width="13.85546875" style="1" customWidth="1"/>
    <col min="2013" max="2013" width="10.42578125" style="1" customWidth="1"/>
    <col min="2014" max="2014" width="16.7109375" style="1" customWidth="1"/>
    <col min="2015" max="2015" width="16.28515625" style="1" customWidth="1"/>
    <col min="2016" max="2016" width="14.42578125" style="1" customWidth="1"/>
    <col min="2017" max="2017" width="14.85546875" style="1" customWidth="1"/>
    <col min="2018" max="2018" width="13" style="1" customWidth="1"/>
    <col min="2019" max="2019" width="18.7109375" style="1" customWidth="1"/>
    <col min="2020" max="2020" width="6" style="1" customWidth="1"/>
    <col min="2021" max="2021" width="15.28515625" style="1" customWidth="1"/>
    <col min="2022" max="2022" width="28" style="1" customWidth="1"/>
    <col min="2023" max="2023" width="13.5703125" style="1" customWidth="1"/>
    <col min="2024" max="2024" width="15.5703125" style="1" customWidth="1"/>
    <col min="2025" max="2025" width="8.85546875" style="1" customWidth="1"/>
    <col min="2026" max="2026" width="15.28515625" style="1" customWidth="1"/>
    <col min="2027" max="2027" width="15.7109375" style="1" customWidth="1"/>
    <col min="2028" max="2030" width="17.140625" style="1" customWidth="1"/>
    <col min="2031" max="2031" width="35.7109375" style="1" customWidth="1"/>
    <col min="2032" max="2032" width="28.5703125" style="1" customWidth="1"/>
    <col min="2033" max="2033" width="17.140625" style="1" customWidth="1"/>
    <col min="2034" max="2034" width="28.5703125" style="1" customWidth="1"/>
    <col min="2035" max="2263" width="9.140625" style="1"/>
    <col min="2264" max="2264" width="11.42578125" style="1" customWidth="1"/>
    <col min="2265" max="2265" width="25.140625" style="1" customWidth="1"/>
    <col min="2266" max="2266" width="42.7109375" style="1" customWidth="1"/>
    <col min="2267" max="2267" width="9.28515625" style="1" customWidth="1"/>
    <col min="2268" max="2268" width="13.85546875" style="1" customWidth="1"/>
    <col min="2269" max="2269" width="10.42578125" style="1" customWidth="1"/>
    <col min="2270" max="2270" width="16.7109375" style="1" customWidth="1"/>
    <col min="2271" max="2271" width="16.28515625" style="1" customWidth="1"/>
    <col min="2272" max="2272" width="14.42578125" style="1" customWidth="1"/>
    <col min="2273" max="2273" width="14.85546875" style="1" customWidth="1"/>
    <col min="2274" max="2274" width="13" style="1" customWidth="1"/>
    <col min="2275" max="2275" width="18.7109375" style="1" customWidth="1"/>
    <col min="2276" max="2276" width="6" style="1" customWidth="1"/>
    <col min="2277" max="2277" width="15.28515625" style="1" customWidth="1"/>
    <col min="2278" max="2278" width="28" style="1" customWidth="1"/>
    <col min="2279" max="2279" width="13.5703125" style="1" customWidth="1"/>
    <col min="2280" max="2280" width="15.5703125" style="1" customWidth="1"/>
    <col min="2281" max="2281" width="8.85546875" style="1" customWidth="1"/>
    <col min="2282" max="2282" width="15.28515625" style="1" customWidth="1"/>
    <col min="2283" max="2283" width="15.7109375" style="1" customWidth="1"/>
    <col min="2284" max="2286" width="17.140625" style="1" customWidth="1"/>
    <col min="2287" max="2287" width="35.7109375" style="1" customWidth="1"/>
    <col min="2288" max="2288" width="28.5703125" style="1" customWidth="1"/>
    <col min="2289" max="2289" width="17.140625" style="1" customWidth="1"/>
    <col min="2290" max="2290" width="28.5703125" style="1" customWidth="1"/>
    <col min="2291" max="2519" width="9.140625" style="1"/>
    <col min="2520" max="2520" width="11.42578125" style="1" customWidth="1"/>
    <col min="2521" max="2521" width="25.140625" style="1" customWidth="1"/>
    <col min="2522" max="2522" width="42.7109375" style="1" customWidth="1"/>
    <col min="2523" max="2523" width="9.28515625" style="1" customWidth="1"/>
    <col min="2524" max="2524" width="13.85546875" style="1" customWidth="1"/>
    <col min="2525" max="2525" width="10.42578125" style="1" customWidth="1"/>
    <col min="2526" max="2526" width="16.7109375" style="1" customWidth="1"/>
    <col min="2527" max="2527" width="16.28515625" style="1" customWidth="1"/>
    <col min="2528" max="2528" width="14.42578125" style="1" customWidth="1"/>
    <col min="2529" max="2529" width="14.85546875" style="1" customWidth="1"/>
    <col min="2530" max="2530" width="13" style="1" customWidth="1"/>
    <col min="2531" max="2531" width="18.7109375" style="1" customWidth="1"/>
    <col min="2532" max="2532" width="6" style="1" customWidth="1"/>
    <col min="2533" max="2533" width="15.28515625" style="1" customWidth="1"/>
    <col min="2534" max="2534" width="28" style="1" customWidth="1"/>
    <col min="2535" max="2535" width="13.5703125" style="1" customWidth="1"/>
    <col min="2536" max="2536" width="15.5703125" style="1" customWidth="1"/>
    <col min="2537" max="2537" width="8.85546875" style="1" customWidth="1"/>
    <col min="2538" max="2538" width="15.28515625" style="1" customWidth="1"/>
    <col min="2539" max="2539" width="15.7109375" style="1" customWidth="1"/>
    <col min="2540" max="2542" width="17.140625" style="1" customWidth="1"/>
    <col min="2543" max="2543" width="35.7109375" style="1" customWidth="1"/>
    <col min="2544" max="2544" width="28.5703125" style="1" customWidth="1"/>
    <col min="2545" max="2545" width="17.140625" style="1" customWidth="1"/>
    <col min="2546" max="2546" width="28.5703125" style="1" customWidth="1"/>
    <col min="2547" max="2775" width="9.140625" style="1"/>
    <col min="2776" max="2776" width="11.42578125" style="1" customWidth="1"/>
    <col min="2777" max="2777" width="25.140625" style="1" customWidth="1"/>
    <col min="2778" max="2778" width="42.7109375" style="1" customWidth="1"/>
    <col min="2779" max="2779" width="9.28515625" style="1" customWidth="1"/>
    <col min="2780" max="2780" width="13.85546875" style="1" customWidth="1"/>
    <col min="2781" max="2781" width="10.42578125" style="1" customWidth="1"/>
    <col min="2782" max="2782" width="16.7109375" style="1" customWidth="1"/>
    <col min="2783" max="2783" width="16.28515625" style="1" customWidth="1"/>
    <col min="2784" max="2784" width="14.42578125" style="1" customWidth="1"/>
    <col min="2785" max="2785" width="14.85546875" style="1" customWidth="1"/>
    <col min="2786" max="2786" width="13" style="1" customWidth="1"/>
    <col min="2787" max="2787" width="18.7109375" style="1" customWidth="1"/>
    <col min="2788" max="2788" width="6" style="1" customWidth="1"/>
    <col min="2789" max="2789" width="15.28515625" style="1" customWidth="1"/>
    <col min="2790" max="2790" width="28" style="1" customWidth="1"/>
    <col min="2791" max="2791" width="13.5703125" style="1" customWidth="1"/>
    <col min="2792" max="2792" width="15.5703125" style="1" customWidth="1"/>
    <col min="2793" max="2793" width="8.85546875" style="1" customWidth="1"/>
    <col min="2794" max="2794" width="15.28515625" style="1" customWidth="1"/>
    <col min="2795" max="2795" width="15.7109375" style="1" customWidth="1"/>
    <col min="2796" max="2798" width="17.140625" style="1" customWidth="1"/>
    <col min="2799" max="2799" width="35.7109375" style="1" customWidth="1"/>
    <col min="2800" max="2800" width="28.5703125" style="1" customWidth="1"/>
    <col min="2801" max="2801" width="17.140625" style="1" customWidth="1"/>
    <col min="2802" max="2802" width="28.5703125" style="1" customWidth="1"/>
    <col min="2803" max="3031" width="9.140625" style="1"/>
    <col min="3032" max="3032" width="11.42578125" style="1" customWidth="1"/>
    <col min="3033" max="3033" width="25.140625" style="1" customWidth="1"/>
    <col min="3034" max="3034" width="42.7109375" style="1" customWidth="1"/>
    <col min="3035" max="3035" width="9.28515625" style="1" customWidth="1"/>
    <col min="3036" max="3036" width="13.85546875" style="1" customWidth="1"/>
    <col min="3037" max="3037" width="10.42578125" style="1" customWidth="1"/>
    <col min="3038" max="3038" width="16.7109375" style="1" customWidth="1"/>
    <col min="3039" max="3039" width="16.28515625" style="1" customWidth="1"/>
    <col min="3040" max="3040" width="14.42578125" style="1" customWidth="1"/>
    <col min="3041" max="3041" width="14.85546875" style="1" customWidth="1"/>
    <col min="3042" max="3042" width="13" style="1" customWidth="1"/>
    <col min="3043" max="3043" width="18.7109375" style="1" customWidth="1"/>
    <col min="3044" max="3044" width="6" style="1" customWidth="1"/>
    <col min="3045" max="3045" width="15.28515625" style="1" customWidth="1"/>
    <col min="3046" max="3046" width="28" style="1" customWidth="1"/>
    <col min="3047" max="3047" width="13.5703125" style="1" customWidth="1"/>
    <col min="3048" max="3048" width="15.5703125" style="1" customWidth="1"/>
    <col min="3049" max="3049" width="8.85546875" style="1" customWidth="1"/>
    <col min="3050" max="3050" width="15.28515625" style="1" customWidth="1"/>
    <col min="3051" max="3051" width="15.7109375" style="1" customWidth="1"/>
    <col min="3052" max="3054" width="17.140625" style="1" customWidth="1"/>
    <col min="3055" max="3055" width="35.7109375" style="1" customWidth="1"/>
    <col min="3056" max="3056" width="28.5703125" style="1" customWidth="1"/>
    <col min="3057" max="3057" width="17.140625" style="1" customWidth="1"/>
    <col min="3058" max="3058" width="28.5703125" style="1" customWidth="1"/>
    <col min="3059" max="3287" width="9.140625" style="1"/>
    <col min="3288" max="3288" width="11.42578125" style="1" customWidth="1"/>
    <col min="3289" max="3289" width="25.140625" style="1" customWidth="1"/>
    <col min="3290" max="3290" width="42.7109375" style="1" customWidth="1"/>
    <col min="3291" max="3291" width="9.28515625" style="1" customWidth="1"/>
    <col min="3292" max="3292" width="13.85546875" style="1" customWidth="1"/>
    <col min="3293" max="3293" width="10.42578125" style="1" customWidth="1"/>
    <col min="3294" max="3294" width="16.7109375" style="1" customWidth="1"/>
    <col min="3295" max="3295" width="16.28515625" style="1" customWidth="1"/>
    <col min="3296" max="3296" width="14.42578125" style="1" customWidth="1"/>
    <col min="3297" max="3297" width="14.85546875" style="1" customWidth="1"/>
    <col min="3298" max="3298" width="13" style="1" customWidth="1"/>
    <col min="3299" max="3299" width="18.7109375" style="1" customWidth="1"/>
    <col min="3300" max="3300" width="6" style="1" customWidth="1"/>
    <col min="3301" max="3301" width="15.28515625" style="1" customWidth="1"/>
    <col min="3302" max="3302" width="28" style="1" customWidth="1"/>
    <col min="3303" max="3303" width="13.5703125" style="1" customWidth="1"/>
    <col min="3304" max="3304" width="15.5703125" style="1" customWidth="1"/>
    <col min="3305" max="3305" width="8.85546875" style="1" customWidth="1"/>
    <col min="3306" max="3306" width="15.28515625" style="1" customWidth="1"/>
    <col min="3307" max="3307" width="15.7109375" style="1" customWidth="1"/>
    <col min="3308" max="3310" width="17.140625" style="1" customWidth="1"/>
    <col min="3311" max="3311" width="35.7109375" style="1" customWidth="1"/>
    <col min="3312" max="3312" width="28.5703125" style="1" customWidth="1"/>
    <col min="3313" max="3313" width="17.140625" style="1" customWidth="1"/>
    <col min="3314" max="3314" width="28.5703125" style="1" customWidth="1"/>
    <col min="3315" max="3543" width="9.140625" style="1"/>
    <col min="3544" max="3544" width="11.42578125" style="1" customWidth="1"/>
    <col min="3545" max="3545" width="25.140625" style="1" customWidth="1"/>
    <col min="3546" max="3546" width="42.7109375" style="1" customWidth="1"/>
    <col min="3547" max="3547" width="9.28515625" style="1" customWidth="1"/>
    <col min="3548" max="3548" width="13.85546875" style="1" customWidth="1"/>
    <col min="3549" max="3549" width="10.42578125" style="1" customWidth="1"/>
    <col min="3550" max="3550" width="16.7109375" style="1" customWidth="1"/>
    <col min="3551" max="3551" width="16.28515625" style="1" customWidth="1"/>
    <col min="3552" max="3552" width="14.42578125" style="1" customWidth="1"/>
    <col min="3553" max="3553" width="14.85546875" style="1" customWidth="1"/>
    <col min="3554" max="3554" width="13" style="1" customWidth="1"/>
    <col min="3555" max="3555" width="18.7109375" style="1" customWidth="1"/>
    <col min="3556" max="3556" width="6" style="1" customWidth="1"/>
    <col min="3557" max="3557" width="15.28515625" style="1" customWidth="1"/>
    <col min="3558" max="3558" width="28" style="1" customWidth="1"/>
    <col min="3559" max="3559" width="13.5703125" style="1" customWidth="1"/>
    <col min="3560" max="3560" width="15.5703125" style="1" customWidth="1"/>
    <col min="3561" max="3561" width="8.85546875" style="1" customWidth="1"/>
    <col min="3562" max="3562" width="15.28515625" style="1" customWidth="1"/>
    <col min="3563" max="3563" width="15.7109375" style="1" customWidth="1"/>
    <col min="3564" max="3566" width="17.140625" style="1" customWidth="1"/>
    <col min="3567" max="3567" width="35.7109375" style="1" customWidth="1"/>
    <col min="3568" max="3568" width="28.5703125" style="1" customWidth="1"/>
    <col min="3569" max="3569" width="17.140625" style="1" customWidth="1"/>
    <col min="3570" max="3570" width="28.5703125" style="1" customWidth="1"/>
    <col min="3571" max="3799" width="9.140625" style="1"/>
    <col min="3800" max="3800" width="11.42578125" style="1" customWidth="1"/>
    <col min="3801" max="3801" width="25.140625" style="1" customWidth="1"/>
    <col min="3802" max="3802" width="42.7109375" style="1" customWidth="1"/>
    <col min="3803" max="3803" width="9.28515625" style="1" customWidth="1"/>
    <col min="3804" max="3804" width="13.85546875" style="1" customWidth="1"/>
    <col min="3805" max="3805" width="10.42578125" style="1" customWidth="1"/>
    <col min="3806" max="3806" width="16.7109375" style="1" customWidth="1"/>
    <col min="3807" max="3807" width="16.28515625" style="1" customWidth="1"/>
    <col min="3808" max="3808" width="14.42578125" style="1" customWidth="1"/>
    <col min="3809" max="3809" width="14.85546875" style="1" customWidth="1"/>
    <col min="3810" max="3810" width="13" style="1" customWidth="1"/>
    <col min="3811" max="3811" width="18.7109375" style="1" customWidth="1"/>
    <col min="3812" max="3812" width="6" style="1" customWidth="1"/>
    <col min="3813" max="3813" width="15.28515625" style="1" customWidth="1"/>
    <col min="3814" max="3814" width="28" style="1" customWidth="1"/>
    <col min="3815" max="3815" width="13.5703125" style="1" customWidth="1"/>
    <col min="3816" max="3816" width="15.5703125" style="1" customWidth="1"/>
    <col min="3817" max="3817" width="8.85546875" style="1" customWidth="1"/>
    <col min="3818" max="3818" width="15.28515625" style="1" customWidth="1"/>
    <col min="3819" max="3819" width="15.7109375" style="1" customWidth="1"/>
    <col min="3820" max="3822" width="17.140625" style="1" customWidth="1"/>
    <col min="3823" max="3823" width="35.7109375" style="1" customWidth="1"/>
    <col min="3824" max="3824" width="28.5703125" style="1" customWidth="1"/>
    <col min="3825" max="3825" width="17.140625" style="1" customWidth="1"/>
    <col min="3826" max="3826" width="28.5703125" style="1" customWidth="1"/>
    <col min="3827" max="4055" width="9.140625" style="1"/>
    <col min="4056" max="4056" width="11.42578125" style="1" customWidth="1"/>
    <col min="4057" max="4057" width="25.140625" style="1" customWidth="1"/>
    <col min="4058" max="4058" width="42.7109375" style="1" customWidth="1"/>
    <col min="4059" max="4059" width="9.28515625" style="1" customWidth="1"/>
    <col min="4060" max="4060" width="13.85546875" style="1" customWidth="1"/>
    <col min="4061" max="4061" width="10.42578125" style="1" customWidth="1"/>
    <col min="4062" max="4062" width="16.7109375" style="1" customWidth="1"/>
    <col min="4063" max="4063" width="16.28515625" style="1" customWidth="1"/>
    <col min="4064" max="4064" width="14.42578125" style="1" customWidth="1"/>
    <col min="4065" max="4065" width="14.85546875" style="1" customWidth="1"/>
    <col min="4066" max="4066" width="13" style="1" customWidth="1"/>
    <col min="4067" max="4067" width="18.7109375" style="1" customWidth="1"/>
    <col min="4068" max="4068" width="6" style="1" customWidth="1"/>
    <col min="4069" max="4069" width="15.28515625" style="1" customWidth="1"/>
    <col min="4070" max="4070" width="28" style="1" customWidth="1"/>
    <col min="4071" max="4071" width="13.5703125" style="1" customWidth="1"/>
    <col min="4072" max="4072" width="15.5703125" style="1" customWidth="1"/>
    <col min="4073" max="4073" width="8.85546875" style="1" customWidth="1"/>
    <col min="4074" max="4074" width="15.28515625" style="1" customWidth="1"/>
    <col min="4075" max="4075" width="15.7109375" style="1" customWidth="1"/>
    <col min="4076" max="4078" width="17.140625" style="1" customWidth="1"/>
    <col min="4079" max="4079" width="35.7109375" style="1" customWidth="1"/>
    <col min="4080" max="4080" width="28.5703125" style="1" customWidth="1"/>
    <col min="4081" max="4081" width="17.140625" style="1" customWidth="1"/>
    <col min="4082" max="4082" width="28.5703125" style="1" customWidth="1"/>
    <col min="4083" max="4311" width="9.140625" style="1"/>
    <col min="4312" max="4312" width="11.42578125" style="1" customWidth="1"/>
    <col min="4313" max="4313" width="25.140625" style="1" customWidth="1"/>
    <col min="4314" max="4314" width="42.7109375" style="1" customWidth="1"/>
    <col min="4315" max="4315" width="9.28515625" style="1" customWidth="1"/>
    <col min="4316" max="4316" width="13.85546875" style="1" customWidth="1"/>
    <col min="4317" max="4317" width="10.42578125" style="1" customWidth="1"/>
    <col min="4318" max="4318" width="16.7109375" style="1" customWidth="1"/>
    <col min="4319" max="4319" width="16.28515625" style="1" customWidth="1"/>
    <col min="4320" max="4320" width="14.42578125" style="1" customWidth="1"/>
    <col min="4321" max="4321" width="14.85546875" style="1" customWidth="1"/>
    <col min="4322" max="4322" width="13" style="1" customWidth="1"/>
    <col min="4323" max="4323" width="18.7109375" style="1" customWidth="1"/>
    <col min="4324" max="4324" width="6" style="1" customWidth="1"/>
    <col min="4325" max="4325" width="15.28515625" style="1" customWidth="1"/>
    <col min="4326" max="4326" width="28" style="1" customWidth="1"/>
    <col min="4327" max="4327" width="13.5703125" style="1" customWidth="1"/>
    <col min="4328" max="4328" width="15.5703125" style="1" customWidth="1"/>
    <col min="4329" max="4329" width="8.85546875" style="1" customWidth="1"/>
    <col min="4330" max="4330" width="15.28515625" style="1" customWidth="1"/>
    <col min="4331" max="4331" width="15.7109375" style="1" customWidth="1"/>
    <col min="4332" max="4334" width="17.140625" style="1" customWidth="1"/>
    <col min="4335" max="4335" width="35.7109375" style="1" customWidth="1"/>
    <col min="4336" max="4336" width="28.5703125" style="1" customWidth="1"/>
    <col min="4337" max="4337" width="17.140625" style="1" customWidth="1"/>
    <col min="4338" max="4338" width="28.5703125" style="1" customWidth="1"/>
    <col min="4339" max="4567" width="9.140625" style="1"/>
    <col min="4568" max="4568" width="11.42578125" style="1" customWidth="1"/>
    <col min="4569" max="4569" width="25.140625" style="1" customWidth="1"/>
    <col min="4570" max="4570" width="42.7109375" style="1" customWidth="1"/>
    <col min="4571" max="4571" width="9.28515625" style="1" customWidth="1"/>
    <col min="4572" max="4572" width="13.85546875" style="1" customWidth="1"/>
    <col min="4573" max="4573" width="10.42578125" style="1" customWidth="1"/>
    <col min="4574" max="4574" width="16.7109375" style="1" customWidth="1"/>
    <col min="4575" max="4575" width="16.28515625" style="1" customWidth="1"/>
    <col min="4576" max="4576" width="14.42578125" style="1" customWidth="1"/>
    <col min="4577" max="4577" width="14.85546875" style="1" customWidth="1"/>
    <col min="4578" max="4578" width="13" style="1" customWidth="1"/>
    <col min="4579" max="4579" width="18.7109375" style="1" customWidth="1"/>
    <col min="4580" max="4580" width="6" style="1" customWidth="1"/>
    <col min="4581" max="4581" width="15.28515625" style="1" customWidth="1"/>
    <col min="4582" max="4582" width="28" style="1" customWidth="1"/>
    <col min="4583" max="4583" width="13.5703125" style="1" customWidth="1"/>
    <col min="4584" max="4584" width="15.5703125" style="1" customWidth="1"/>
    <col min="4585" max="4585" width="8.85546875" style="1" customWidth="1"/>
    <col min="4586" max="4586" width="15.28515625" style="1" customWidth="1"/>
    <col min="4587" max="4587" width="15.7109375" style="1" customWidth="1"/>
    <col min="4588" max="4590" width="17.140625" style="1" customWidth="1"/>
    <col min="4591" max="4591" width="35.7109375" style="1" customWidth="1"/>
    <col min="4592" max="4592" width="28.5703125" style="1" customWidth="1"/>
    <col min="4593" max="4593" width="17.140625" style="1" customWidth="1"/>
    <col min="4594" max="4594" width="28.5703125" style="1" customWidth="1"/>
    <col min="4595" max="4823" width="9.140625" style="1"/>
    <col min="4824" max="4824" width="11.42578125" style="1" customWidth="1"/>
    <col min="4825" max="4825" width="25.140625" style="1" customWidth="1"/>
    <col min="4826" max="4826" width="42.7109375" style="1" customWidth="1"/>
    <col min="4827" max="4827" width="9.28515625" style="1" customWidth="1"/>
    <col min="4828" max="4828" width="13.85546875" style="1" customWidth="1"/>
    <col min="4829" max="4829" width="10.42578125" style="1" customWidth="1"/>
    <col min="4830" max="4830" width="16.7109375" style="1" customWidth="1"/>
    <col min="4831" max="4831" width="16.28515625" style="1" customWidth="1"/>
    <col min="4832" max="4832" width="14.42578125" style="1" customWidth="1"/>
    <col min="4833" max="4833" width="14.85546875" style="1" customWidth="1"/>
    <col min="4834" max="4834" width="13" style="1" customWidth="1"/>
    <col min="4835" max="4835" width="18.7109375" style="1" customWidth="1"/>
    <col min="4836" max="4836" width="6" style="1" customWidth="1"/>
    <col min="4837" max="4837" width="15.28515625" style="1" customWidth="1"/>
    <col min="4838" max="4838" width="28" style="1" customWidth="1"/>
    <col min="4839" max="4839" width="13.5703125" style="1" customWidth="1"/>
    <col min="4840" max="4840" width="15.5703125" style="1" customWidth="1"/>
    <col min="4841" max="4841" width="8.85546875" style="1" customWidth="1"/>
    <col min="4842" max="4842" width="15.28515625" style="1" customWidth="1"/>
    <col min="4843" max="4843" width="15.7109375" style="1" customWidth="1"/>
    <col min="4844" max="4846" width="17.140625" style="1" customWidth="1"/>
    <col min="4847" max="4847" width="35.7109375" style="1" customWidth="1"/>
    <col min="4848" max="4848" width="28.5703125" style="1" customWidth="1"/>
    <col min="4849" max="4849" width="17.140625" style="1" customWidth="1"/>
    <col min="4850" max="4850" width="28.5703125" style="1" customWidth="1"/>
    <col min="4851" max="5079" width="9.140625" style="1"/>
    <col min="5080" max="5080" width="11.42578125" style="1" customWidth="1"/>
    <col min="5081" max="5081" width="25.140625" style="1" customWidth="1"/>
    <col min="5082" max="5082" width="42.7109375" style="1" customWidth="1"/>
    <col min="5083" max="5083" width="9.28515625" style="1" customWidth="1"/>
    <col min="5084" max="5084" width="13.85546875" style="1" customWidth="1"/>
    <col min="5085" max="5085" width="10.42578125" style="1" customWidth="1"/>
    <col min="5086" max="5086" width="16.7109375" style="1" customWidth="1"/>
    <col min="5087" max="5087" width="16.28515625" style="1" customWidth="1"/>
    <col min="5088" max="5088" width="14.42578125" style="1" customWidth="1"/>
    <col min="5089" max="5089" width="14.85546875" style="1" customWidth="1"/>
    <col min="5090" max="5090" width="13" style="1" customWidth="1"/>
    <col min="5091" max="5091" width="18.7109375" style="1" customWidth="1"/>
    <col min="5092" max="5092" width="6" style="1" customWidth="1"/>
    <col min="5093" max="5093" width="15.28515625" style="1" customWidth="1"/>
    <col min="5094" max="5094" width="28" style="1" customWidth="1"/>
    <col min="5095" max="5095" width="13.5703125" style="1" customWidth="1"/>
    <col min="5096" max="5096" width="15.5703125" style="1" customWidth="1"/>
    <col min="5097" max="5097" width="8.85546875" style="1" customWidth="1"/>
    <col min="5098" max="5098" width="15.28515625" style="1" customWidth="1"/>
    <col min="5099" max="5099" width="15.7109375" style="1" customWidth="1"/>
    <col min="5100" max="5102" width="17.140625" style="1" customWidth="1"/>
    <col min="5103" max="5103" width="35.7109375" style="1" customWidth="1"/>
    <col min="5104" max="5104" width="28.5703125" style="1" customWidth="1"/>
    <col min="5105" max="5105" width="17.140625" style="1" customWidth="1"/>
    <col min="5106" max="5106" width="28.5703125" style="1" customWidth="1"/>
    <col min="5107" max="5335" width="9.140625" style="1"/>
    <col min="5336" max="5336" width="11.42578125" style="1" customWidth="1"/>
    <col min="5337" max="5337" width="25.140625" style="1" customWidth="1"/>
    <col min="5338" max="5338" width="42.7109375" style="1" customWidth="1"/>
    <col min="5339" max="5339" width="9.28515625" style="1" customWidth="1"/>
    <col min="5340" max="5340" width="13.85546875" style="1" customWidth="1"/>
    <col min="5341" max="5341" width="10.42578125" style="1" customWidth="1"/>
    <col min="5342" max="5342" width="16.7109375" style="1" customWidth="1"/>
    <col min="5343" max="5343" width="16.28515625" style="1" customWidth="1"/>
    <col min="5344" max="5344" width="14.42578125" style="1" customWidth="1"/>
    <col min="5345" max="5345" width="14.85546875" style="1" customWidth="1"/>
    <col min="5346" max="5346" width="13" style="1" customWidth="1"/>
    <col min="5347" max="5347" width="18.7109375" style="1" customWidth="1"/>
    <col min="5348" max="5348" width="6" style="1" customWidth="1"/>
    <col min="5349" max="5349" width="15.28515625" style="1" customWidth="1"/>
    <col min="5350" max="5350" width="28" style="1" customWidth="1"/>
    <col min="5351" max="5351" width="13.5703125" style="1" customWidth="1"/>
    <col min="5352" max="5352" width="15.5703125" style="1" customWidth="1"/>
    <col min="5353" max="5353" width="8.85546875" style="1" customWidth="1"/>
    <col min="5354" max="5354" width="15.28515625" style="1" customWidth="1"/>
    <col min="5355" max="5355" width="15.7109375" style="1" customWidth="1"/>
    <col min="5356" max="5358" width="17.140625" style="1" customWidth="1"/>
    <col min="5359" max="5359" width="35.7109375" style="1" customWidth="1"/>
    <col min="5360" max="5360" width="28.5703125" style="1" customWidth="1"/>
    <col min="5361" max="5361" width="17.140625" style="1" customWidth="1"/>
    <col min="5362" max="5362" width="28.5703125" style="1" customWidth="1"/>
    <col min="5363" max="5591" width="9.140625" style="1"/>
    <col min="5592" max="5592" width="11.42578125" style="1" customWidth="1"/>
    <col min="5593" max="5593" width="25.140625" style="1" customWidth="1"/>
    <col min="5594" max="5594" width="42.7109375" style="1" customWidth="1"/>
    <col min="5595" max="5595" width="9.28515625" style="1" customWidth="1"/>
    <col min="5596" max="5596" width="13.85546875" style="1" customWidth="1"/>
    <col min="5597" max="5597" width="10.42578125" style="1" customWidth="1"/>
    <col min="5598" max="5598" width="16.7109375" style="1" customWidth="1"/>
    <col min="5599" max="5599" width="16.28515625" style="1" customWidth="1"/>
    <col min="5600" max="5600" width="14.42578125" style="1" customWidth="1"/>
    <col min="5601" max="5601" width="14.85546875" style="1" customWidth="1"/>
    <col min="5602" max="5602" width="13" style="1" customWidth="1"/>
    <col min="5603" max="5603" width="18.7109375" style="1" customWidth="1"/>
    <col min="5604" max="5604" width="6" style="1" customWidth="1"/>
    <col min="5605" max="5605" width="15.28515625" style="1" customWidth="1"/>
    <col min="5606" max="5606" width="28" style="1" customWidth="1"/>
    <col min="5607" max="5607" width="13.5703125" style="1" customWidth="1"/>
    <col min="5608" max="5608" width="15.5703125" style="1" customWidth="1"/>
    <col min="5609" max="5609" width="8.85546875" style="1" customWidth="1"/>
    <col min="5610" max="5610" width="15.28515625" style="1" customWidth="1"/>
    <col min="5611" max="5611" width="15.7109375" style="1" customWidth="1"/>
    <col min="5612" max="5614" width="17.140625" style="1" customWidth="1"/>
    <col min="5615" max="5615" width="35.7109375" style="1" customWidth="1"/>
    <col min="5616" max="5616" width="28.5703125" style="1" customWidth="1"/>
    <col min="5617" max="5617" width="17.140625" style="1" customWidth="1"/>
    <col min="5618" max="5618" width="28.5703125" style="1" customWidth="1"/>
    <col min="5619" max="5847" width="9.140625" style="1"/>
    <col min="5848" max="5848" width="11.42578125" style="1" customWidth="1"/>
    <col min="5849" max="5849" width="25.140625" style="1" customWidth="1"/>
    <col min="5850" max="5850" width="42.7109375" style="1" customWidth="1"/>
    <col min="5851" max="5851" width="9.28515625" style="1" customWidth="1"/>
    <col min="5852" max="5852" width="13.85546875" style="1" customWidth="1"/>
    <col min="5853" max="5853" width="10.42578125" style="1" customWidth="1"/>
    <col min="5854" max="5854" width="16.7109375" style="1" customWidth="1"/>
    <col min="5855" max="5855" width="16.28515625" style="1" customWidth="1"/>
    <col min="5856" max="5856" width="14.42578125" style="1" customWidth="1"/>
    <col min="5857" max="5857" width="14.85546875" style="1" customWidth="1"/>
    <col min="5858" max="5858" width="13" style="1" customWidth="1"/>
    <col min="5859" max="5859" width="18.7109375" style="1" customWidth="1"/>
    <col min="5860" max="5860" width="6" style="1" customWidth="1"/>
    <col min="5861" max="5861" width="15.28515625" style="1" customWidth="1"/>
    <col min="5862" max="5862" width="28" style="1" customWidth="1"/>
    <col min="5863" max="5863" width="13.5703125" style="1" customWidth="1"/>
    <col min="5864" max="5864" width="15.5703125" style="1" customWidth="1"/>
    <col min="5865" max="5865" width="8.85546875" style="1" customWidth="1"/>
    <col min="5866" max="5866" width="15.28515625" style="1" customWidth="1"/>
    <col min="5867" max="5867" width="15.7109375" style="1" customWidth="1"/>
    <col min="5868" max="5870" width="17.140625" style="1" customWidth="1"/>
    <col min="5871" max="5871" width="35.7109375" style="1" customWidth="1"/>
    <col min="5872" max="5872" width="28.5703125" style="1" customWidth="1"/>
    <col min="5873" max="5873" width="17.140625" style="1" customWidth="1"/>
    <col min="5874" max="5874" width="28.5703125" style="1" customWidth="1"/>
    <col min="5875" max="6103" width="9.140625" style="1"/>
    <col min="6104" max="6104" width="11.42578125" style="1" customWidth="1"/>
    <col min="6105" max="6105" width="25.140625" style="1" customWidth="1"/>
    <col min="6106" max="6106" width="42.7109375" style="1" customWidth="1"/>
    <col min="6107" max="6107" width="9.28515625" style="1" customWidth="1"/>
    <col min="6108" max="6108" width="13.85546875" style="1" customWidth="1"/>
    <col min="6109" max="6109" width="10.42578125" style="1" customWidth="1"/>
    <col min="6110" max="6110" width="16.7109375" style="1" customWidth="1"/>
    <col min="6111" max="6111" width="16.28515625" style="1" customWidth="1"/>
    <col min="6112" max="6112" width="14.42578125" style="1" customWidth="1"/>
    <col min="6113" max="6113" width="14.85546875" style="1" customWidth="1"/>
    <col min="6114" max="6114" width="13" style="1" customWidth="1"/>
    <col min="6115" max="6115" width="18.7109375" style="1" customWidth="1"/>
    <col min="6116" max="6116" width="6" style="1" customWidth="1"/>
    <col min="6117" max="6117" width="15.28515625" style="1" customWidth="1"/>
    <col min="6118" max="6118" width="28" style="1" customWidth="1"/>
    <col min="6119" max="6119" width="13.5703125" style="1" customWidth="1"/>
    <col min="6120" max="6120" width="15.5703125" style="1" customWidth="1"/>
    <col min="6121" max="6121" width="8.85546875" style="1" customWidth="1"/>
    <col min="6122" max="6122" width="15.28515625" style="1" customWidth="1"/>
    <col min="6123" max="6123" width="15.7109375" style="1" customWidth="1"/>
    <col min="6124" max="6126" width="17.140625" style="1" customWidth="1"/>
    <col min="6127" max="6127" width="35.7109375" style="1" customWidth="1"/>
    <col min="6128" max="6128" width="28.5703125" style="1" customWidth="1"/>
    <col min="6129" max="6129" width="17.140625" style="1" customWidth="1"/>
    <col min="6130" max="6130" width="28.5703125" style="1" customWidth="1"/>
    <col min="6131" max="6359" width="9.140625" style="1"/>
    <col min="6360" max="6360" width="11.42578125" style="1" customWidth="1"/>
    <col min="6361" max="6361" width="25.140625" style="1" customWidth="1"/>
    <col min="6362" max="6362" width="42.7109375" style="1" customWidth="1"/>
    <col min="6363" max="6363" width="9.28515625" style="1" customWidth="1"/>
    <col min="6364" max="6364" width="13.85546875" style="1" customWidth="1"/>
    <col min="6365" max="6365" width="10.42578125" style="1" customWidth="1"/>
    <col min="6366" max="6366" width="16.7109375" style="1" customWidth="1"/>
    <col min="6367" max="6367" width="16.28515625" style="1" customWidth="1"/>
    <col min="6368" max="6368" width="14.42578125" style="1" customWidth="1"/>
    <col min="6369" max="6369" width="14.85546875" style="1" customWidth="1"/>
    <col min="6370" max="6370" width="13" style="1" customWidth="1"/>
    <col min="6371" max="6371" width="18.7109375" style="1" customWidth="1"/>
    <col min="6372" max="6372" width="6" style="1" customWidth="1"/>
    <col min="6373" max="6373" width="15.28515625" style="1" customWidth="1"/>
    <col min="6374" max="6374" width="28" style="1" customWidth="1"/>
    <col min="6375" max="6375" width="13.5703125" style="1" customWidth="1"/>
    <col min="6376" max="6376" width="15.5703125" style="1" customWidth="1"/>
    <col min="6377" max="6377" width="8.85546875" style="1" customWidth="1"/>
    <col min="6378" max="6378" width="15.28515625" style="1" customWidth="1"/>
    <col min="6379" max="6379" width="15.7109375" style="1" customWidth="1"/>
    <col min="6380" max="6382" width="17.140625" style="1" customWidth="1"/>
    <col min="6383" max="6383" width="35.7109375" style="1" customWidth="1"/>
    <col min="6384" max="6384" width="28.5703125" style="1" customWidth="1"/>
    <col min="6385" max="6385" width="17.140625" style="1" customWidth="1"/>
    <col min="6386" max="6386" width="28.5703125" style="1" customWidth="1"/>
    <col min="6387" max="6615" width="9.140625" style="1"/>
    <col min="6616" max="6616" width="11.42578125" style="1" customWidth="1"/>
    <col min="6617" max="6617" width="25.140625" style="1" customWidth="1"/>
    <col min="6618" max="6618" width="42.7109375" style="1" customWidth="1"/>
    <col min="6619" max="6619" width="9.28515625" style="1" customWidth="1"/>
    <col min="6620" max="6620" width="13.85546875" style="1" customWidth="1"/>
    <col min="6621" max="6621" width="10.42578125" style="1" customWidth="1"/>
    <col min="6622" max="6622" width="16.7109375" style="1" customWidth="1"/>
    <col min="6623" max="6623" width="16.28515625" style="1" customWidth="1"/>
    <col min="6624" max="6624" width="14.42578125" style="1" customWidth="1"/>
    <col min="6625" max="6625" width="14.85546875" style="1" customWidth="1"/>
    <col min="6626" max="6626" width="13" style="1" customWidth="1"/>
    <col min="6627" max="6627" width="18.7109375" style="1" customWidth="1"/>
    <col min="6628" max="6628" width="6" style="1" customWidth="1"/>
    <col min="6629" max="6629" width="15.28515625" style="1" customWidth="1"/>
    <col min="6630" max="6630" width="28" style="1" customWidth="1"/>
    <col min="6631" max="6631" width="13.5703125" style="1" customWidth="1"/>
    <col min="6632" max="6632" width="15.5703125" style="1" customWidth="1"/>
    <col min="6633" max="6633" width="8.85546875" style="1" customWidth="1"/>
    <col min="6634" max="6634" width="15.28515625" style="1" customWidth="1"/>
    <col min="6635" max="6635" width="15.7109375" style="1" customWidth="1"/>
    <col min="6636" max="6638" width="17.140625" style="1" customWidth="1"/>
    <col min="6639" max="6639" width="35.7109375" style="1" customWidth="1"/>
    <col min="6640" max="6640" width="28.5703125" style="1" customWidth="1"/>
    <col min="6641" max="6641" width="17.140625" style="1" customWidth="1"/>
    <col min="6642" max="6642" width="28.5703125" style="1" customWidth="1"/>
    <col min="6643" max="6871" width="9.140625" style="1"/>
    <col min="6872" max="6872" width="11.42578125" style="1" customWidth="1"/>
    <col min="6873" max="6873" width="25.140625" style="1" customWidth="1"/>
    <col min="6874" max="6874" width="42.7109375" style="1" customWidth="1"/>
    <col min="6875" max="6875" width="9.28515625" style="1" customWidth="1"/>
    <col min="6876" max="6876" width="13.85546875" style="1" customWidth="1"/>
    <col min="6877" max="6877" width="10.42578125" style="1" customWidth="1"/>
    <col min="6878" max="6878" width="16.7109375" style="1" customWidth="1"/>
    <col min="6879" max="6879" width="16.28515625" style="1" customWidth="1"/>
    <col min="6880" max="6880" width="14.42578125" style="1" customWidth="1"/>
    <col min="6881" max="6881" width="14.85546875" style="1" customWidth="1"/>
    <col min="6882" max="6882" width="13" style="1" customWidth="1"/>
    <col min="6883" max="6883" width="18.7109375" style="1" customWidth="1"/>
    <col min="6884" max="6884" width="6" style="1" customWidth="1"/>
    <col min="6885" max="6885" width="15.28515625" style="1" customWidth="1"/>
    <col min="6886" max="6886" width="28" style="1" customWidth="1"/>
    <col min="6887" max="6887" width="13.5703125" style="1" customWidth="1"/>
    <col min="6888" max="6888" width="15.5703125" style="1" customWidth="1"/>
    <col min="6889" max="6889" width="8.85546875" style="1" customWidth="1"/>
    <col min="6890" max="6890" width="15.28515625" style="1" customWidth="1"/>
    <col min="6891" max="6891" width="15.7109375" style="1" customWidth="1"/>
    <col min="6892" max="6894" width="17.140625" style="1" customWidth="1"/>
    <col min="6895" max="6895" width="35.7109375" style="1" customWidth="1"/>
    <col min="6896" max="6896" width="28.5703125" style="1" customWidth="1"/>
    <col min="6897" max="6897" width="17.140625" style="1" customWidth="1"/>
    <col min="6898" max="6898" width="28.5703125" style="1" customWidth="1"/>
    <col min="6899" max="7127" width="9.140625" style="1"/>
    <col min="7128" max="7128" width="11.42578125" style="1" customWidth="1"/>
    <col min="7129" max="7129" width="25.140625" style="1" customWidth="1"/>
    <col min="7130" max="7130" width="42.7109375" style="1" customWidth="1"/>
    <col min="7131" max="7131" width="9.28515625" style="1" customWidth="1"/>
    <col min="7132" max="7132" width="13.85546875" style="1" customWidth="1"/>
    <col min="7133" max="7133" width="10.42578125" style="1" customWidth="1"/>
    <col min="7134" max="7134" width="16.7109375" style="1" customWidth="1"/>
    <col min="7135" max="7135" width="16.28515625" style="1" customWidth="1"/>
    <col min="7136" max="7136" width="14.42578125" style="1" customWidth="1"/>
    <col min="7137" max="7137" width="14.85546875" style="1" customWidth="1"/>
    <col min="7138" max="7138" width="13" style="1" customWidth="1"/>
    <col min="7139" max="7139" width="18.7109375" style="1" customWidth="1"/>
    <col min="7140" max="7140" width="6" style="1" customWidth="1"/>
    <col min="7141" max="7141" width="15.28515625" style="1" customWidth="1"/>
    <col min="7142" max="7142" width="28" style="1" customWidth="1"/>
    <col min="7143" max="7143" width="13.5703125" style="1" customWidth="1"/>
    <col min="7144" max="7144" width="15.5703125" style="1" customWidth="1"/>
    <col min="7145" max="7145" width="8.85546875" style="1" customWidth="1"/>
    <col min="7146" max="7146" width="15.28515625" style="1" customWidth="1"/>
    <col min="7147" max="7147" width="15.7109375" style="1" customWidth="1"/>
    <col min="7148" max="7150" width="17.140625" style="1" customWidth="1"/>
    <col min="7151" max="7151" width="35.7109375" style="1" customWidth="1"/>
    <col min="7152" max="7152" width="28.5703125" style="1" customWidth="1"/>
    <col min="7153" max="7153" width="17.140625" style="1" customWidth="1"/>
    <col min="7154" max="7154" width="28.5703125" style="1" customWidth="1"/>
    <col min="7155" max="7383" width="9.140625" style="1"/>
    <col min="7384" max="7384" width="11.42578125" style="1" customWidth="1"/>
    <col min="7385" max="7385" width="25.140625" style="1" customWidth="1"/>
    <col min="7386" max="7386" width="42.7109375" style="1" customWidth="1"/>
    <col min="7387" max="7387" width="9.28515625" style="1" customWidth="1"/>
    <col min="7388" max="7388" width="13.85546875" style="1" customWidth="1"/>
    <col min="7389" max="7389" width="10.42578125" style="1" customWidth="1"/>
    <col min="7390" max="7390" width="16.7109375" style="1" customWidth="1"/>
    <col min="7391" max="7391" width="16.28515625" style="1" customWidth="1"/>
    <col min="7392" max="7392" width="14.42578125" style="1" customWidth="1"/>
    <col min="7393" max="7393" width="14.85546875" style="1" customWidth="1"/>
    <col min="7394" max="7394" width="13" style="1" customWidth="1"/>
    <col min="7395" max="7395" width="18.7109375" style="1" customWidth="1"/>
    <col min="7396" max="7396" width="6" style="1" customWidth="1"/>
    <col min="7397" max="7397" width="15.28515625" style="1" customWidth="1"/>
    <col min="7398" max="7398" width="28" style="1" customWidth="1"/>
    <col min="7399" max="7399" width="13.5703125" style="1" customWidth="1"/>
    <col min="7400" max="7400" width="15.5703125" style="1" customWidth="1"/>
    <col min="7401" max="7401" width="8.85546875" style="1" customWidth="1"/>
    <col min="7402" max="7402" width="15.28515625" style="1" customWidth="1"/>
    <col min="7403" max="7403" width="15.7109375" style="1" customWidth="1"/>
    <col min="7404" max="7406" width="17.140625" style="1" customWidth="1"/>
    <col min="7407" max="7407" width="35.7109375" style="1" customWidth="1"/>
    <col min="7408" max="7408" width="28.5703125" style="1" customWidth="1"/>
    <col min="7409" max="7409" width="17.140625" style="1" customWidth="1"/>
    <col min="7410" max="7410" width="28.5703125" style="1" customWidth="1"/>
    <col min="7411" max="7639" width="9.140625" style="1"/>
    <col min="7640" max="7640" width="11.42578125" style="1" customWidth="1"/>
    <col min="7641" max="7641" width="25.140625" style="1" customWidth="1"/>
    <col min="7642" max="7642" width="42.7109375" style="1" customWidth="1"/>
    <col min="7643" max="7643" width="9.28515625" style="1" customWidth="1"/>
    <col min="7644" max="7644" width="13.85546875" style="1" customWidth="1"/>
    <col min="7645" max="7645" width="10.42578125" style="1" customWidth="1"/>
    <col min="7646" max="7646" width="16.7109375" style="1" customWidth="1"/>
    <col min="7647" max="7647" width="16.28515625" style="1" customWidth="1"/>
    <col min="7648" max="7648" width="14.42578125" style="1" customWidth="1"/>
    <col min="7649" max="7649" width="14.85546875" style="1" customWidth="1"/>
    <col min="7650" max="7650" width="13" style="1" customWidth="1"/>
    <col min="7651" max="7651" width="18.7109375" style="1" customWidth="1"/>
    <col min="7652" max="7652" width="6" style="1" customWidth="1"/>
    <col min="7653" max="7653" width="15.28515625" style="1" customWidth="1"/>
    <col min="7654" max="7654" width="28" style="1" customWidth="1"/>
    <col min="7655" max="7655" width="13.5703125" style="1" customWidth="1"/>
    <col min="7656" max="7656" width="15.5703125" style="1" customWidth="1"/>
    <col min="7657" max="7657" width="8.85546875" style="1" customWidth="1"/>
    <col min="7658" max="7658" width="15.28515625" style="1" customWidth="1"/>
    <col min="7659" max="7659" width="15.7109375" style="1" customWidth="1"/>
    <col min="7660" max="7662" width="17.140625" style="1" customWidth="1"/>
    <col min="7663" max="7663" width="35.7109375" style="1" customWidth="1"/>
    <col min="7664" max="7664" width="28.5703125" style="1" customWidth="1"/>
    <col min="7665" max="7665" width="17.140625" style="1" customWidth="1"/>
    <col min="7666" max="7666" width="28.5703125" style="1" customWidth="1"/>
    <col min="7667" max="7895" width="9.140625" style="1"/>
    <col min="7896" max="7896" width="11.42578125" style="1" customWidth="1"/>
    <col min="7897" max="7897" width="25.140625" style="1" customWidth="1"/>
    <col min="7898" max="7898" width="42.7109375" style="1" customWidth="1"/>
    <col min="7899" max="7899" width="9.28515625" style="1" customWidth="1"/>
    <col min="7900" max="7900" width="13.85546875" style="1" customWidth="1"/>
    <col min="7901" max="7901" width="10.42578125" style="1" customWidth="1"/>
    <col min="7902" max="7902" width="16.7109375" style="1" customWidth="1"/>
    <col min="7903" max="7903" width="16.28515625" style="1" customWidth="1"/>
    <col min="7904" max="7904" width="14.42578125" style="1" customWidth="1"/>
    <col min="7905" max="7905" width="14.85546875" style="1" customWidth="1"/>
    <col min="7906" max="7906" width="13" style="1" customWidth="1"/>
    <col min="7907" max="7907" width="18.7109375" style="1" customWidth="1"/>
    <col min="7908" max="7908" width="6" style="1" customWidth="1"/>
    <col min="7909" max="7909" width="15.28515625" style="1" customWidth="1"/>
    <col min="7910" max="7910" width="28" style="1" customWidth="1"/>
    <col min="7911" max="7911" width="13.5703125" style="1" customWidth="1"/>
    <col min="7912" max="7912" width="15.5703125" style="1" customWidth="1"/>
    <col min="7913" max="7913" width="8.85546875" style="1" customWidth="1"/>
    <col min="7914" max="7914" width="15.28515625" style="1" customWidth="1"/>
    <col min="7915" max="7915" width="15.7109375" style="1" customWidth="1"/>
    <col min="7916" max="7918" width="17.140625" style="1" customWidth="1"/>
    <col min="7919" max="7919" width="35.7109375" style="1" customWidth="1"/>
    <col min="7920" max="7920" width="28.5703125" style="1" customWidth="1"/>
    <col min="7921" max="7921" width="17.140625" style="1" customWidth="1"/>
    <col min="7922" max="7922" width="28.5703125" style="1" customWidth="1"/>
    <col min="7923" max="8151" width="9.140625" style="1"/>
    <col min="8152" max="8152" width="11.42578125" style="1" customWidth="1"/>
    <col min="8153" max="8153" width="25.140625" style="1" customWidth="1"/>
    <col min="8154" max="8154" width="42.7109375" style="1" customWidth="1"/>
    <col min="8155" max="8155" width="9.28515625" style="1" customWidth="1"/>
    <col min="8156" max="8156" width="13.85546875" style="1" customWidth="1"/>
    <col min="8157" max="8157" width="10.42578125" style="1" customWidth="1"/>
    <col min="8158" max="8158" width="16.7109375" style="1" customWidth="1"/>
    <col min="8159" max="8159" width="16.28515625" style="1" customWidth="1"/>
    <col min="8160" max="8160" width="14.42578125" style="1" customWidth="1"/>
    <col min="8161" max="8161" width="14.85546875" style="1" customWidth="1"/>
    <col min="8162" max="8162" width="13" style="1" customWidth="1"/>
    <col min="8163" max="8163" width="18.7109375" style="1" customWidth="1"/>
    <col min="8164" max="8164" width="6" style="1" customWidth="1"/>
    <col min="8165" max="8165" width="15.28515625" style="1" customWidth="1"/>
    <col min="8166" max="8166" width="28" style="1" customWidth="1"/>
    <col min="8167" max="8167" width="13.5703125" style="1" customWidth="1"/>
    <col min="8168" max="8168" width="15.5703125" style="1" customWidth="1"/>
    <col min="8169" max="8169" width="8.85546875" style="1" customWidth="1"/>
    <col min="8170" max="8170" width="15.28515625" style="1" customWidth="1"/>
    <col min="8171" max="8171" width="15.7109375" style="1" customWidth="1"/>
    <col min="8172" max="8174" width="17.140625" style="1" customWidth="1"/>
    <col min="8175" max="8175" width="35.7109375" style="1" customWidth="1"/>
    <col min="8176" max="8176" width="28.5703125" style="1" customWidth="1"/>
    <col min="8177" max="8177" width="17.140625" style="1" customWidth="1"/>
    <col min="8178" max="8178" width="28.5703125" style="1" customWidth="1"/>
    <col min="8179" max="8407" width="9.140625" style="1"/>
    <col min="8408" max="8408" width="11.42578125" style="1" customWidth="1"/>
    <col min="8409" max="8409" width="25.140625" style="1" customWidth="1"/>
    <col min="8410" max="8410" width="42.7109375" style="1" customWidth="1"/>
    <col min="8411" max="8411" width="9.28515625" style="1" customWidth="1"/>
    <col min="8412" max="8412" width="13.85546875" style="1" customWidth="1"/>
    <col min="8413" max="8413" width="10.42578125" style="1" customWidth="1"/>
    <col min="8414" max="8414" width="16.7109375" style="1" customWidth="1"/>
    <col min="8415" max="8415" width="16.28515625" style="1" customWidth="1"/>
    <col min="8416" max="8416" width="14.42578125" style="1" customWidth="1"/>
    <col min="8417" max="8417" width="14.85546875" style="1" customWidth="1"/>
    <col min="8418" max="8418" width="13" style="1" customWidth="1"/>
    <col min="8419" max="8419" width="18.7109375" style="1" customWidth="1"/>
    <col min="8420" max="8420" width="6" style="1" customWidth="1"/>
    <col min="8421" max="8421" width="15.28515625" style="1" customWidth="1"/>
    <col min="8422" max="8422" width="28" style="1" customWidth="1"/>
    <col min="8423" max="8423" width="13.5703125" style="1" customWidth="1"/>
    <col min="8424" max="8424" width="15.5703125" style="1" customWidth="1"/>
    <col min="8425" max="8425" width="8.85546875" style="1" customWidth="1"/>
    <col min="8426" max="8426" width="15.28515625" style="1" customWidth="1"/>
    <col min="8427" max="8427" width="15.7109375" style="1" customWidth="1"/>
    <col min="8428" max="8430" width="17.140625" style="1" customWidth="1"/>
    <col min="8431" max="8431" width="35.7109375" style="1" customWidth="1"/>
    <col min="8432" max="8432" width="28.5703125" style="1" customWidth="1"/>
    <col min="8433" max="8433" width="17.140625" style="1" customWidth="1"/>
    <col min="8434" max="8434" width="28.5703125" style="1" customWidth="1"/>
    <col min="8435" max="8663" width="9.140625" style="1"/>
    <col min="8664" max="8664" width="11.42578125" style="1" customWidth="1"/>
    <col min="8665" max="8665" width="25.140625" style="1" customWidth="1"/>
    <col min="8666" max="8666" width="42.7109375" style="1" customWidth="1"/>
    <col min="8667" max="8667" width="9.28515625" style="1" customWidth="1"/>
    <col min="8668" max="8668" width="13.85546875" style="1" customWidth="1"/>
    <col min="8669" max="8669" width="10.42578125" style="1" customWidth="1"/>
    <col min="8670" max="8670" width="16.7109375" style="1" customWidth="1"/>
    <col min="8671" max="8671" width="16.28515625" style="1" customWidth="1"/>
    <col min="8672" max="8672" width="14.42578125" style="1" customWidth="1"/>
    <col min="8673" max="8673" width="14.85546875" style="1" customWidth="1"/>
    <col min="8674" max="8674" width="13" style="1" customWidth="1"/>
    <col min="8675" max="8675" width="18.7109375" style="1" customWidth="1"/>
    <col min="8676" max="8676" width="6" style="1" customWidth="1"/>
    <col min="8677" max="8677" width="15.28515625" style="1" customWidth="1"/>
    <col min="8678" max="8678" width="28" style="1" customWidth="1"/>
    <col min="8679" max="8679" width="13.5703125" style="1" customWidth="1"/>
    <col min="8680" max="8680" width="15.5703125" style="1" customWidth="1"/>
    <col min="8681" max="8681" width="8.85546875" style="1" customWidth="1"/>
    <col min="8682" max="8682" width="15.28515625" style="1" customWidth="1"/>
    <col min="8683" max="8683" width="15.7109375" style="1" customWidth="1"/>
    <col min="8684" max="8686" width="17.140625" style="1" customWidth="1"/>
    <col min="8687" max="8687" width="35.7109375" style="1" customWidth="1"/>
    <col min="8688" max="8688" width="28.5703125" style="1" customWidth="1"/>
    <col min="8689" max="8689" width="17.140625" style="1" customWidth="1"/>
    <col min="8690" max="8690" width="28.5703125" style="1" customWidth="1"/>
    <col min="8691" max="8919" width="9.140625" style="1"/>
    <col min="8920" max="8920" width="11.42578125" style="1" customWidth="1"/>
    <col min="8921" max="8921" width="25.140625" style="1" customWidth="1"/>
    <col min="8922" max="8922" width="42.7109375" style="1" customWidth="1"/>
    <col min="8923" max="8923" width="9.28515625" style="1" customWidth="1"/>
    <col min="8924" max="8924" width="13.85546875" style="1" customWidth="1"/>
    <col min="8925" max="8925" width="10.42578125" style="1" customWidth="1"/>
    <col min="8926" max="8926" width="16.7109375" style="1" customWidth="1"/>
    <col min="8927" max="8927" width="16.28515625" style="1" customWidth="1"/>
    <col min="8928" max="8928" width="14.42578125" style="1" customWidth="1"/>
    <col min="8929" max="8929" width="14.85546875" style="1" customWidth="1"/>
    <col min="8930" max="8930" width="13" style="1" customWidth="1"/>
    <col min="8931" max="8931" width="18.7109375" style="1" customWidth="1"/>
    <col min="8932" max="8932" width="6" style="1" customWidth="1"/>
    <col min="8933" max="8933" width="15.28515625" style="1" customWidth="1"/>
    <col min="8934" max="8934" width="28" style="1" customWidth="1"/>
    <col min="8935" max="8935" width="13.5703125" style="1" customWidth="1"/>
    <col min="8936" max="8936" width="15.5703125" style="1" customWidth="1"/>
    <col min="8937" max="8937" width="8.85546875" style="1" customWidth="1"/>
    <col min="8938" max="8938" width="15.28515625" style="1" customWidth="1"/>
    <col min="8939" max="8939" width="15.7109375" style="1" customWidth="1"/>
    <col min="8940" max="8942" width="17.140625" style="1" customWidth="1"/>
    <col min="8943" max="8943" width="35.7109375" style="1" customWidth="1"/>
    <col min="8944" max="8944" width="28.5703125" style="1" customWidth="1"/>
    <col min="8945" max="8945" width="17.140625" style="1" customWidth="1"/>
    <col min="8946" max="8946" width="28.5703125" style="1" customWidth="1"/>
    <col min="8947" max="9175" width="9.140625" style="1"/>
    <col min="9176" max="9176" width="11.42578125" style="1" customWidth="1"/>
    <col min="9177" max="9177" width="25.140625" style="1" customWidth="1"/>
    <col min="9178" max="9178" width="42.7109375" style="1" customWidth="1"/>
    <col min="9179" max="9179" width="9.28515625" style="1" customWidth="1"/>
    <col min="9180" max="9180" width="13.85546875" style="1" customWidth="1"/>
    <col min="9181" max="9181" width="10.42578125" style="1" customWidth="1"/>
    <col min="9182" max="9182" width="16.7109375" style="1" customWidth="1"/>
    <col min="9183" max="9183" width="16.28515625" style="1" customWidth="1"/>
    <col min="9184" max="9184" width="14.42578125" style="1" customWidth="1"/>
    <col min="9185" max="9185" width="14.85546875" style="1" customWidth="1"/>
    <col min="9186" max="9186" width="13" style="1" customWidth="1"/>
    <col min="9187" max="9187" width="18.7109375" style="1" customWidth="1"/>
    <col min="9188" max="9188" width="6" style="1" customWidth="1"/>
    <col min="9189" max="9189" width="15.28515625" style="1" customWidth="1"/>
    <col min="9190" max="9190" width="28" style="1" customWidth="1"/>
    <col min="9191" max="9191" width="13.5703125" style="1" customWidth="1"/>
    <col min="9192" max="9192" width="15.5703125" style="1" customWidth="1"/>
    <col min="9193" max="9193" width="8.85546875" style="1" customWidth="1"/>
    <col min="9194" max="9194" width="15.28515625" style="1" customWidth="1"/>
    <col min="9195" max="9195" width="15.7109375" style="1" customWidth="1"/>
    <col min="9196" max="9198" width="17.140625" style="1" customWidth="1"/>
    <col min="9199" max="9199" width="35.7109375" style="1" customWidth="1"/>
    <col min="9200" max="9200" width="28.5703125" style="1" customWidth="1"/>
    <col min="9201" max="9201" width="17.140625" style="1" customWidth="1"/>
    <col min="9202" max="9202" width="28.5703125" style="1" customWidth="1"/>
    <col min="9203" max="9431" width="9.140625" style="1"/>
    <col min="9432" max="9432" width="11.42578125" style="1" customWidth="1"/>
    <col min="9433" max="9433" width="25.140625" style="1" customWidth="1"/>
    <col min="9434" max="9434" width="42.7109375" style="1" customWidth="1"/>
    <col min="9435" max="9435" width="9.28515625" style="1" customWidth="1"/>
    <col min="9436" max="9436" width="13.85546875" style="1" customWidth="1"/>
    <col min="9437" max="9437" width="10.42578125" style="1" customWidth="1"/>
    <col min="9438" max="9438" width="16.7109375" style="1" customWidth="1"/>
    <col min="9439" max="9439" width="16.28515625" style="1" customWidth="1"/>
    <col min="9440" max="9440" width="14.42578125" style="1" customWidth="1"/>
    <col min="9441" max="9441" width="14.85546875" style="1" customWidth="1"/>
    <col min="9442" max="9442" width="13" style="1" customWidth="1"/>
    <col min="9443" max="9443" width="18.7109375" style="1" customWidth="1"/>
    <col min="9444" max="9444" width="6" style="1" customWidth="1"/>
    <col min="9445" max="9445" width="15.28515625" style="1" customWidth="1"/>
    <col min="9446" max="9446" width="28" style="1" customWidth="1"/>
    <col min="9447" max="9447" width="13.5703125" style="1" customWidth="1"/>
    <col min="9448" max="9448" width="15.5703125" style="1" customWidth="1"/>
    <col min="9449" max="9449" width="8.85546875" style="1" customWidth="1"/>
    <col min="9450" max="9450" width="15.28515625" style="1" customWidth="1"/>
    <col min="9451" max="9451" width="15.7109375" style="1" customWidth="1"/>
    <col min="9452" max="9454" width="17.140625" style="1" customWidth="1"/>
    <col min="9455" max="9455" width="35.7109375" style="1" customWidth="1"/>
    <col min="9456" max="9456" width="28.5703125" style="1" customWidth="1"/>
    <col min="9457" max="9457" width="17.140625" style="1" customWidth="1"/>
    <col min="9458" max="9458" width="28.5703125" style="1" customWidth="1"/>
    <col min="9459" max="9687" width="9.140625" style="1"/>
    <col min="9688" max="9688" width="11.42578125" style="1" customWidth="1"/>
    <col min="9689" max="9689" width="25.140625" style="1" customWidth="1"/>
    <col min="9690" max="9690" width="42.7109375" style="1" customWidth="1"/>
    <col min="9691" max="9691" width="9.28515625" style="1" customWidth="1"/>
    <col min="9692" max="9692" width="13.85546875" style="1" customWidth="1"/>
    <col min="9693" max="9693" width="10.42578125" style="1" customWidth="1"/>
    <col min="9694" max="9694" width="16.7109375" style="1" customWidth="1"/>
    <col min="9695" max="9695" width="16.28515625" style="1" customWidth="1"/>
    <col min="9696" max="9696" width="14.42578125" style="1" customWidth="1"/>
    <col min="9697" max="9697" width="14.85546875" style="1" customWidth="1"/>
    <col min="9698" max="9698" width="13" style="1" customWidth="1"/>
    <col min="9699" max="9699" width="18.7109375" style="1" customWidth="1"/>
    <col min="9700" max="9700" width="6" style="1" customWidth="1"/>
    <col min="9701" max="9701" width="15.28515625" style="1" customWidth="1"/>
    <col min="9702" max="9702" width="28" style="1" customWidth="1"/>
    <col min="9703" max="9703" width="13.5703125" style="1" customWidth="1"/>
    <col min="9704" max="9704" width="15.5703125" style="1" customWidth="1"/>
    <col min="9705" max="9705" width="8.85546875" style="1" customWidth="1"/>
    <col min="9706" max="9706" width="15.28515625" style="1" customWidth="1"/>
    <col min="9707" max="9707" width="15.7109375" style="1" customWidth="1"/>
    <col min="9708" max="9710" width="17.140625" style="1" customWidth="1"/>
    <col min="9711" max="9711" width="35.7109375" style="1" customWidth="1"/>
    <col min="9712" max="9712" width="28.5703125" style="1" customWidth="1"/>
    <col min="9713" max="9713" width="17.140625" style="1" customWidth="1"/>
    <col min="9714" max="9714" width="28.5703125" style="1" customWidth="1"/>
    <col min="9715" max="9943" width="9.140625" style="1"/>
    <col min="9944" max="9944" width="11.42578125" style="1" customWidth="1"/>
    <col min="9945" max="9945" width="25.140625" style="1" customWidth="1"/>
    <col min="9946" max="9946" width="42.7109375" style="1" customWidth="1"/>
    <col min="9947" max="9947" width="9.28515625" style="1" customWidth="1"/>
    <col min="9948" max="9948" width="13.85546875" style="1" customWidth="1"/>
    <col min="9949" max="9949" width="10.42578125" style="1" customWidth="1"/>
    <col min="9950" max="9950" width="16.7109375" style="1" customWidth="1"/>
    <col min="9951" max="9951" width="16.28515625" style="1" customWidth="1"/>
    <col min="9952" max="9952" width="14.42578125" style="1" customWidth="1"/>
    <col min="9953" max="9953" width="14.85546875" style="1" customWidth="1"/>
    <col min="9954" max="9954" width="13" style="1" customWidth="1"/>
    <col min="9955" max="9955" width="18.7109375" style="1" customWidth="1"/>
    <col min="9956" max="9956" width="6" style="1" customWidth="1"/>
    <col min="9957" max="9957" width="15.28515625" style="1" customWidth="1"/>
    <col min="9958" max="9958" width="28" style="1" customWidth="1"/>
    <col min="9959" max="9959" width="13.5703125" style="1" customWidth="1"/>
    <col min="9960" max="9960" width="15.5703125" style="1" customWidth="1"/>
    <col min="9961" max="9961" width="8.85546875" style="1" customWidth="1"/>
    <col min="9962" max="9962" width="15.28515625" style="1" customWidth="1"/>
    <col min="9963" max="9963" width="15.7109375" style="1" customWidth="1"/>
    <col min="9964" max="9966" width="17.140625" style="1" customWidth="1"/>
    <col min="9967" max="9967" width="35.7109375" style="1" customWidth="1"/>
    <col min="9968" max="9968" width="28.5703125" style="1" customWidth="1"/>
    <col min="9969" max="9969" width="17.140625" style="1" customWidth="1"/>
    <col min="9970" max="9970" width="28.5703125" style="1" customWidth="1"/>
    <col min="9971" max="10199" width="9.140625" style="1"/>
    <col min="10200" max="10200" width="11.42578125" style="1" customWidth="1"/>
    <col min="10201" max="10201" width="25.140625" style="1" customWidth="1"/>
    <col min="10202" max="10202" width="42.7109375" style="1" customWidth="1"/>
    <col min="10203" max="10203" width="9.28515625" style="1" customWidth="1"/>
    <col min="10204" max="10204" width="13.85546875" style="1" customWidth="1"/>
    <col min="10205" max="10205" width="10.42578125" style="1" customWidth="1"/>
    <col min="10206" max="10206" width="16.7109375" style="1" customWidth="1"/>
    <col min="10207" max="10207" width="16.28515625" style="1" customWidth="1"/>
    <col min="10208" max="10208" width="14.42578125" style="1" customWidth="1"/>
    <col min="10209" max="10209" width="14.85546875" style="1" customWidth="1"/>
    <col min="10210" max="10210" width="13" style="1" customWidth="1"/>
    <col min="10211" max="10211" width="18.7109375" style="1" customWidth="1"/>
    <col min="10212" max="10212" width="6" style="1" customWidth="1"/>
    <col min="10213" max="10213" width="15.28515625" style="1" customWidth="1"/>
    <col min="10214" max="10214" width="28" style="1" customWidth="1"/>
    <col min="10215" max="10215" width="13.5703125" style="1" customWidth="1"/>
    <col min="10216" max="10216" width="15.5703125" style="1" customWidth="1"/>
    <col min="10217" max="10217" width="8.85546875" style="1" customWidth="1"/>
    <col min="10218" max="10218" width="15.28515625" style="1" customWidth="1"/>
    <col min="10219" max="10219" width="15.7109375" style="1" customWidth="1"/>
    <col min="10220" max="10222" width="17.140625" style="1" customWidth="1"/>
    <col min="10223" max="10223" width="35.7109375" style="1" customWidth="1"/>
    <col min="10224" max="10224" width="28.5703125" style="1" customWidth="1"/>
    <col min="10225" max="10225" width="17.140625" style="1" customWidth="1"/>
    <col min="10226" max="10226" width="28.5703125" style="1" customWidth="1"/>
    <col min="10227" max="10455" width="9.140625" style="1"/>
    <col min="10456" max="10456" width="11.42578125" style="1" customWidth="1"/>
    <col min="10457" max="10457" width="25.140625" style="1" customWidth="1"/>
    <col min="10458" max="10458" width="42.7109375" style="1" customWidth="1"/>
    <col min="10459" max="10459" width="9.28515625" style="1" customWidth="1"/>
    <col min="10460" max="10460" width="13.85546875" style="1" customWidth="1"/>
    <col min="10461" max="10461" width="10.42578125" style="1" customWidth="1"/>
    <col min="10462" max="10462" width="16.7109375" style="1" customWidth="1"/>
    <col min="10463" max="10463" width="16.28515625" style="1" customWidth="1"/>
    <col min="10464" max="10464" width="14.42578125" style="1" customWidth="1"/>
    <col min="10465" max="10465" width="14.85546875" style="1" customWidth="1"/>
    <col min="10466" max="10466" width="13" style="1" customWidth="1"/>
    <col min="10467" max="10467" width="18.7109375" style="1" customWidth="1"/>
    <col min="10468" max="10468" width="6" style="1" customWidth="1"/>
    <col min="10469" max="10469" width="15.28515625" style="1" customWidth="1"/>
    <col min="10470" max="10470" width="28" style="1" customWidth="1"/>
    <col min="10471" max="10471" width="13.5703125" style="1" customWidth="1"/>
    <col min="10472" max="10472" width="15.5703125" style="1" customWidth="1"/>
    <col min="10473" max="10473" width="8.85546875" style="1" customWidth="1"/>
    <col min="10474" max="10474" width="15.28515625" style="1" customWidth="1"/>
    <col min="10475" max="10475" width="15.7109375" style="1" customWidth="1"/>
    <col min="10476" max="10478" width="17.140625" style="1" customWidth="1"/>
    <col min="10479" max="10479" width="35.7109375" style="1" customWidth="1"/>
    <col min="10480" max="10480" width="28.5703125" style="1" customWidth="1"/>
    <col min="10481" max="10481" width="17.140625" style="1" customWidth="1"/>
    <col min="10482" max="10482" width="28.5703125" style="1" customWidth="1"/>
    <col min="10483" max="10711" width="9.140625" style="1"/>
    <col min="10712" max="10712" width="11.42578125" style="1" customWidth="1"/>
    <col min="10713" max="10713" width="25.140625" style="1" customWidth="1"/>
    <col min="10714" max="10714" width="42.7109375" style="1" customWidth="1"/>
    <col min="10715" max="10715" width="9.28515625" style="1" customWidth="1"/>
    <col min="10716" max="10716" width="13.85546875" style="1" customWidth="1"/>
    <col min="10717" max="10717" width="10.42578125" style="1" customWidth="1"/>
    <col min="10718" max="10718" width="16.7109375" style="1" customWidth="1"/>
    <col min="10719" max="10719" width="16.28515625" style="1" customWidth="1"/>
    <col min="10720" max="10720" width="14.42578125" style="1" customWidth="1"/>
    <col min="10721" max="10721" width="14.85546875" style="1" customWidth="1"/>
    <col min="10722" max="10722" width="13" style="1" customWidth="1"/>
    <col min="10723" max="10723" width="18.7109375" style="1" customWidth="1"/>
    <col min="10724" max="10724" width="6" style="1" customWidth="1"/>
    <col min="10725" max="10725" width="15.28515625" style="1" customWidth="1"/>
    <col min="10726" max="10726" width="28" style="1" customWidth="1"/>
    <col min="10727" max="10727" width="13.5703125" style="1" customWidth="1"/>
    <col min="10728" max="10728" width="15.5703125" style="1" customWidth="1"/>
    <col min="10729" max="10729" width="8.85546875" style="1" customWidth="1"/>
    <col min="10730" max="10730" width="15.28515625" style="1" customWidth="1"/>
    <col min="10731" max="10731" width="15.7109375" style="1" customWidth="1"/>
    <col min="10732" max="10734" width="17.140625" style="1" customWidth="1"/>
    <col min="10735" max="10735" width="35.7109375" style="1" customWidth="1"/>
    <col min="10736" max="10736" width="28.5703125" style="1" customWidth="1"/>
    <col min="10737" max="10737" width="17.140625" style="1" customWidth="1"/>
    <col min="10738" max="10738" width="28.5703125" style="1" customWidth="1"/>
    <col min="10739" max="10967" width="9.140625" style="1"/>
    <col min="10968" max="10968" width="11.42578125" style="1" customWidth="1"/>
    <col min="10969" max="10969" width="25.140625" style="1" customWidth="1"/>
    <col min="10970" max="10970" width="42.7109375" style="1" customWidth="1"/>
    <col min="10971" max="10971" width="9.28515625" style="1" customWidth="1"/>
    <col min="10972" max="10972" width="13.85546875" style="1" customWidth="1"/>
    <col min="10973" max="10973" width="10.42578125" style="1" customWidth="1"/>
    <col min="10974" max="10974" width="16.7109375" style="1" customWidth="1"/>
    <col min="10975" max="10975" width="16.28515625" style="1" customWidth="1"/>
    <col min="10976" max="10976" width="14.42578125" style="1" customWidth="1"/>
    <col min="10977" max="10977" width="14.85546875" style="1" customWidth="1"/>
    <col min="10978" max="10978" width="13" style="1" customWidth="1"/>
    <col min="10979" max="10979" width="18.7109375" style="1" customWidth="1"/>
    <col min="10980" max="10980" width="6" style="1" customWidth="1"/>
    <col min="10981" max="10981" width="15.28515625" style="1" customWidth="1"/>
    <col min="10982" max="10982" width="28" style="1" customWidth="1"/>
    <col min="10983" max="10983" width="13.5703125" style="1" customWidth="1"/>
    <col min="10984" max="10984" width="15.5703125" style="1" customWidth="1"/>
    <col min="10985" max="10985" width="8.85546875" style="1" customWidth="1"/>
    <col min="10986" max="10986" width="15.28515625" style="1" customWidth="1"/>
    <col min="10987" max="10987" width="15.7109375" style="1" customWidth="1"/>
    <col min="10988" max="10990" width="17.140625" style="1" customWidth="1"/>
    <col min="10991" max="10991" width="35.7109375" style="1" customWidth="1"/>
    <col min="10992" max="10992" width="28.5703125" style="1" customWidth="1"/>
    <col min="10993" max="10993" width="17.140625" style="1" customWidth="1"/>
    <col min="10994" max="10994" width="28.5703125" style="1" customWidth="1"/>
    <col min="10995" max="11223" width="9.140625" style="1"/>
    <col min="11224" max="11224" width="11.42578125" style="1" customWidth="1"/>
    <col min="11225" max="11225" width="25.140625" style="1" customWidth="1"/>
    <col min="11226" max="11226" width="42.7109375" style="1" customWidth="1"/>
    <col min="11227" max="11227" width="9.28515625" style="1" customWidth="1"/>
    <col min="11228" max="11228" width="13.85546875" style="1" customWidth="1"/>
    <col min="11229" max="11229" width="10.42578125" style="1" customWidth="1"/>
    <col min="11230" max="11230" width="16.7109375" style="1" customWidth="1"/>
    <col min="11231" max="11231" width="16.28515625" style="1" customWidth="1"/>
    <col min="11232" max="11232" width="14.42578125" style="1" customWidth="1"/>
    <col min="11233" max="11233" width="14.85546875" style="1" customWidth="1"/>
    <col min="11234" max="11234" width="13" style="1" customWidth="1"/>
    <col min="11235" max="11235" width="18.7109375" style="1" customWidth="1"/>
    <col min="11236" max="11236" width="6" style="1" customWidth="1"/>
    <col min="11237" max="11237" width="15.28515625" style="1" customWidth="1"/>
    <col min="11238" max="11238" width="28" style="1" customWidth="1"/>
    <col min="11239" max="11239" width="13.5703125" style="1" customWidth="1"/>
    <col min="11240" max="11240" width="15.5703125" style="1" customWidth="1"/>
    <col min="11241" max="11241" width="8.85546875" style="1" customWidth="1"/>
    <col min="11242" max="11242" width="15.28515625" style="1" customWidth="1"/>
    <col min="11243" max="11243" width="15.7109375" style="1" customWidth="1"/>
    <col min="11244" max="11246" width="17.140625" style="1" customWidth="1"/>
    <col min="11247" max="11247" width="35.7109375" style="1" customWidth="1"/>
    <col min="11248" max="11248" width="28.5703125" style="1" customWidth="1"/>
    <col min="11249" max="11249" width="17.140625" style="1" customWidth="1"/>
    <col min="11250" max="11250" width="28.5703125" style="1" customWidth="1"/>
    <col min="11251" max="11479" width="9.140625" style="1"/>
    <col min="11480" max="11480" width="11.42578125" style="1" customWidth="1"/>
    <col min="11481" max="11481" width="25.140625" style="1" customWidth="1"/>
    <col min="11482" max="11482" width="42.7109375" style="1" customWidth="1"/>
    <col min="11483" max="11483" width="9.28515625" style="1" customWidth="1"/>
    <col min="11484" max="11484" width="13.85546875" style="1" customWidth="1"/>
    <col min="11485" max="11485" width="10.42578125" style="1" customWidth="1"/>
    <col min="11486" max="11486" width="16.7109375" style="1" customWidth="1"/>
    <col min="11487" max="11487" width="16.28515625" style="1" customWidth="1"/>
    <col min="11488" max="11488" width="14.42578125" style="1" customWidth="1"/>
    <col min="11489" max="11489" width="14.85546875" style="1" customWidth="1"/>
    <col min="11490" max="11490" width="13" style="1" customWidth="1"/>
    <col min="11491" max="11491" width="18.7109375" style="1" customWidth="1"/>
    <col min="11492" max="11492" width="6" style="1" customWidth="1"/>
    <col min="11493" max="11493" width="15.28515625" style="1" customWidth="1"/>
    <col min="11494" max="11494" width="28" style="1" customWidth="1"/>
    <col min="11495" max="11495" width="13.5703125" style="1" customWidth="1"/>
    <col min="11496" max="11496" width="15.5703125" style="1" customWidth="1"/>
    <col min="11497" max="11497" width="8.85546875" style="1" customWidth="1"/>
    <col min="11498" max="11498" width="15.28515625" style="1" customWidth="1"/>
    <col min="11499" max="11499" width="15.7109375" style="1" customWidth="1"/>
    <col min="11500" max="11502" width="17.140625" style="1" customWidth="1"/>
    <col min="11503" max="11503" width="35.7109375" style="1" customWidth="1"/>
    <col min="11504" max="11504" width="28.5703125" style="1" customWidth="1"/>
    <col min="11505" max="11505" width="17.140625" style="1" customWidth="1"/>
    <col min="11506" max="11506" width="28.5703125" style="1" customWidth="1"/>
    <col min="11507" max="11735" width="9.140625" style="1"/>
    <col min="11736" max="11736" width="11.42578125" style="1" customWidth="1"/>
    <col min="11737" max="11737" width="25.140625" style="1" customWidth="1"/>
    <col min="11738" max="11738" width="42.7109375" style="1" customWidth="1"/>
    <col min="11739" max="11739" width="9.28515625" style="1" customWidth="1"/>
    <col min="11740" max="11740" width="13.85546875" style="1" customWidth="1"/>
    <col min="11741" max="11741" width="10.42578125" style="1" customWidth="1"/>
    <col min="11742" max="11742" width="16.7109375" style="1" customWidth="1"/>
    <col min="11743" max="11743" width="16.28515625" style="1" customWidth="1"/>
    <col min="11744" max="11744" width="14.42578125" style="1" customWidth="1"/>
    <col min="11745" max="11745" width="14.85546875" style="1" customWidth="1"/>
    <col min="11746" max="11746" width="13" style="1" customWidth="1"/>
    <col min="11747" max="11747" width="18.7109375" style="1" customWidth="1"/>
    <col min="11748" max="11748" width="6" style="1" customWidth="1"/>
    <col min="11749" max="11749" width="15.28515625" style="1" customWidth="1"/>
    <col min="11750" max="11750" width="28" style="1" customWidth="1"/>
    <col min="11751" max="11751" width="13.5703125" style="1" customWidth="1"/>
    <col min="11752" max="11752" width="15.5703125" style="1" customWidth="1"/>
    <col min="11753" max="11753" width="8.85546875" style="1" customWidth="1"/>
    <col min="11754" max="11754" width="15.28515625" style="1" customWidth="1"/>
    <col min="11755" max="11755" width="15.7109375" style="1" customWidth="1"/>
    <col min="11756" max="11758" width="17.140625" style="1" customWidth="1"/>
    <col min="11759" max="11759" width="35.7109375" style="1" customWidth="1"/>
    <col min="11760" max="11760" width="28.5703125" style="1" customWidth="1"/>
    <col min="11761" max="11761" width="17.140625" style="1" customWidth="1"/>
    <col min="11762" max="11762" width="28.5703125" style="1" customWidth="1"/>
    <col min="11763" max="11991" width="9.140625" style="1"/>
    <col min="11992" max="11992" width="11.42578125" style="1" customWidth="1"/>
    <col min="11993" max="11993" width="25.140625" style="1" customWidth="1"/>
    <col min="11994" max="11994" width="42.7109375" style="1" customWidth="1"/>
    <col min="11995" max="11995" width="9.28515625" style="1" customWidth="1"/>
    <col min="11996" max="11996" width="13.85546875" style="1" customWidth="1"/>
    <col min="11997" max="11997" width="10.42578125" style="1" customWidth="1"/>
    <col min="11998" max="11998" width="16.7109375" style="1" customWidth="1"/>
    <col min="11999" max="11999" width="16.28515625" style="1" customWidth="1"/>
    <col min="12000" max="12000" width="14.42578125" style="1" customWidth="1"/>
    <col min="12001" max="12001" width="14.85546875" style="1" customWidth="1"/>
    <col min="12002" max="12002" width="13" style="1" customWidth="1"/>
    <col min="12003" max="12003" width="18.7109375" style="1" customWidth="1"/>
    <col min="12004" max="12004" width="6" style="1" customWidth="1"/>
    <col min="12005" max="12005" width="15.28515625" style="1" customWidth="1"/>
    <col min="12006" max="12006" width="28" style="1" customWidth="1"/>
    <col min="12007" max="12007" width="13.5703125" style="1" customWidth="1"/>
    <col min="12008" max="12008" width="15.5703125" style="1" customWidth="1"/>
    <col min="12009" max="12009" width="8.85546875" style="1" customWidth="1"/>
    <col min="12010" max="12010" width="15.28515625" style="1" customWidth="1"/>
    <col min="12011" max="12011" width="15.7109375" style="1" customWidth="1"/>
    <col min="12012" max="12014" width="17.140625" style="1" customWidth="1"/>
    <col min="12015" max="12015" width="35.7109375" style="1" customWidth="1"/>
    <col min="12016" max="12016" width="28.5703125" style="1" customWidth="1"/>
    <col min="12017" max="12017" width="17.140625" style="1" customWidth="1"/>
    <col min="12018" max="12018" width="28.5703125" style="1" customWidth="1"/>
    <col min="12019" max="12247" width="9.140625" style="1"/>
    <col min="12248" max="12248" width="11.42578125" style="1" customWidth="1"/>
    <col min="12249" max="12249" width="25.140625" style="1" customWidth="1"/>
    <col min="12250" max="12250" width="42.7109375" style="1" customWidth="1"/>
    <col min="12251" max="12251" width="9.28515625" style="1" customWidth="1"/>
    <col min="12252" max="12252" width="13.85546875" style="1" customWidth="1"/>
    <col min="12253" max="12253" width="10.42578125" style="1" customWidth="1"/>
    <col min="12254" max="12254" width="16.7109375" style="1" customWidth="1"/>
    <col min="12255" max="12255" width="16.28515625" style="1" customWidth="1"/>
    <col min="12256" max="12256" width="14.42578125" style="1" customWidth="1"/>
    <col min="12257" max="12257" width="14.85546875" style="1" customWidth="1"/>
    <col min="12258" max="12258" width="13" style="1" customWidth="1"/>
    <col min="12259" max="12259" width="18.7109375" style="1" customWidth="1"/>
    <col min="12260" max="12260" width="6" style="1" customWidth="1"/>
    <col min="12261" max="12261" width="15.28515625" style="1" customWidth="1"/>
    <col min="12262" max="12262" width="28" style="1" customWidth="1"/>
    <col min="12263" max="12263" width="13.5703125" style="1" customWidth="1"/>
    <col min="12264" max="12264" width="15.5703125" style="1" customWidth="1"/>
    <col min="12265" max="12265" width="8.85546875" style="1" customWidth="1"/>
    <col min="12266" max="12266" width="15.28515625" style="1" customWidth="1"/>
    <col min="12267" max="12267" width="15.7109375" style="1" customWidth="1"/>
    <col min="12268" max="12270" width="17.140625" style="1" customWidth="1"/>
    <col min="12271" max="12271" width="35.7109375" style="1" customWidth="1"/>
    <col min="12272" max="12272" width="28.5703125" style="1" customWidth="1"/>
    <col min="12273" max="12273" width="17.140625" style="1" customWidth="1"/>
    <col min="12274" max="12274" width="28.5703125" style="1" customWidth="1"/>
    <col min="12275" max="12503" width="9.140625" style="1"/>
    <col min="12504" max="12504" width="11.42578125" style="1" customWidth="1"/>
    <col min="12505" max="12505" width="25.140625" style="1" customWidth="1"/>
    <col min="12506" max="12506" width="42.7109375" style="1" customWidth="1"/>
    <col min="12507" max="12507" width="9.28515625" style="1" customWidth="1"/>
    <col min="12508" max="12508" width="13.85546875" style="1" customWidth="1"/>
    <col min="12509" max="12509" width="10.42578125" style="1" customWidth="1"/>
    <col min="12510" max="12510" width="16.7109375" style="1" customWidth="1"/>
    <col min="12511" max="12511" width="16.28515625" style="1" customWidth="1"/>
    <col min="12512" max="12512" width="14.42578125" style="1" customWidth="1"/>
    <col min="12513" max="12513" width="14.85546875" style="1" customWidth="1"/>
    <col min="12514" max="12514" width="13" style="1" customWidth="1"/>
    <col min="12515" max="12515" width="18.7109375" style="1" customWidth="1"/>
    <col min="12516" max="12516" width="6" style="1" customWidth="1"/>
    <col min="12517" max="12517" width="15.28515625" style="1" customWidth="1"/>
    <col min="12518" max="12518" width="28" style="1" customWidth="1"/>
    <col min="12519" max="12519" width="13.5703125" style="1" customWidth="1"/>
    <col min="12520" max="12520" width="15.5703125" style="1" customWidth="1"/>
    <col min="12521" max="12521" width="8.85546875" style="1" customWidth="1"/>
    <col min="12522" max="12522" width="15.28515625" style="1" customWidth="1"/>
    <col min="12523" max="12523" width="15.7109375" style="1" customWidth="1"/>
    <col min="12524" max="12526" width="17.140625" style="1" customWidth="1"/>
    <col min="12527" max="12527" width="35.7109375" style="1" customWidth="1"/>
    <col min="12528" max="12528" width="28.5703125" style="1" customWidth="1"/>
    <col min="12529" max="12529" width="17.140625" style="1" customWidth="1"/>
    <col min="12530" max="12530" width="28.5703125" style="1" customWidth="1"/>
    <col min="12531" max="12759" width="9.140625" style="1"/>
    <col min="12760" max="12760" width="11.42578125" style="1" customWidth="1"/>
    <col min="12761" max="12761" width="25.140625" style="1" customWidth="1"/>
    <col min="12762" max="12762" width="42.7109375" style="1" customWidth="1"/>
    <col min="12763" max="12763" width="9.28515625" style="1" customWidth="1"/>
    <col min="12764" max="12764" width="13.85546875" style="1" customWidth="1"/>
    <col min="12765" max="12765" width="10.42578125" style="1" customWidth="1"/>
    <col min="12766" max="12766" width="16.7109375" style="1" customWidth="1"/>
    <col min="12767" max="12767" width="16.28515625" style="1" customWidth="1"/>
    <col min="12768" max="12768" width="14.42578125" style="1" customWidth="1"/>
    <col min="12769" max="12769" width="14.85546875" style="1" customWidth="1"/>
    <col min="12770" max="12770" width="13" style="1" customWidth="1"/>
    <col min="12771" max="12771" width="18.7109375" style="1" customWidth="1"/>
    <col min="12772" max="12772" width="6" style="1" customWidth="1"/>
    <col min="12773" max="12773" width="15.28515625" style="1" customWidth="1"/>
    <col min="12774" max="12774" width="28" style="1" customWidth="1"/>
    <col min="12775" max="12775" width="13.5703125" style="1" customWidth="1"/>
    <col min="12776" max="12776" width="15.5703125" style="1" customWidth="1"/>
    <col min="12777" max="12777" width="8.85546875" style="1" customWidth="1"/>
    <col min="12778" max="12778" width="15.28515625" style="1" customWidth="1"/>
    <col min="12779" max="12779" width="15.7109375" style="1" customWidth="1"/>
    <col min="12780" max="12782" width="17.140625" style="1" customWidth="1"/>
    <col min="12783" max="12783" width="35.7109375" style="1" customWidth="1"/>
    <col min="12784" max="12784" width="28.5703125" style="1" customWidth="1"/>
    <col min="12785" max="12785" width="17.140625" style="1" customWidth="1"/>
    <col min="12786" max="12786" width="28.5703125" style="1" customWidth="1"/>
    <col min="12787" max="13015" width="9.140625" style="1"/>
    <col min="13016" max="13016" width="11.42578125" style="1" customWidth="1"/>
    <col min="13017" max="13017" width="25.140625" style="1" customWidth="1"/>
    <col min="13018" max="13018" width="42.7109375" style="1" customWidth="1"/>
    <col min="13019" max="13019" width="9.28515625" style="1" customWidth="1"/>
    <col min="13020" max="13020" width="13.85546875" style="1" customWidth="1"/>
    <col min="13021" max="13021" width="10.42578125" style="1" customWidth="1"/>
    <col min="13022" max="13022" width="16.7109375" style="1" customWidth="1"/>
    <col min="13023" max="13023" width="16.28515625" style="1" customWidth="1"/>
    <col min="13024" max="13024" width="14.42578125" style="1" customWidth="1"/>
    <col min="13025" max="13025" width="14.85546875" style="1" customWidth="1"/>
    <col min="13026" max="13026" width="13" style="1" customWidth="1"/>
    <col min="13027" max="13027" width="18.7109375" style="1" customWidth="1"/>
    <col min="13028" max="13028" width="6" style="1" customWidth="1"/>
    <col min="13029" max="13029" width="15.28515625" style="1" customWidth="1"/>
    <col min="13030" max="13030" width="28" style="1" customWidth="1"/>
    <col min="13031" max="13031" width="13.5703125" style="1" customWidth="1"/>
    <col min="13032" max="13032" width="15.5703125" style="1" customWidth="1"/>
    <col min="13033" max="13033" width="8.85546875" style="1" customWidth="1"/>
    <col min="13034" max="13034" width="15.28515625" style="1" customWidth="1"/>
    <col min="13035" max="13035" width="15.7109375" style="1" customWidth="1"/>
    <col min="13036" max="13038" width="17.140625" style="1" customWidth="1"/>
    <col min="13039" max="13039" width="35.7109375" style="1" customWidth="1"/>
    <col min="13040" max="13040" width="28.5703125" style="1" customWidth="1"/>
    <col min="13041" max="13041" width="17.140625" style="1" customWidth="1"/>
    <col min="13042" max="13042" width="28.5703125" style="1" customWidth="1"/>
    <col min="13043" max="13271" width="9.140625" style="1"/>
    <col min="13272" max="13272" width="11.42578125" style="1" customWidth="1"/>
    <col min="13273" max="13273" width="25.140625" style="1" customWidth="1"/>
    <col min="13274" max="13274" width="42.7109375" style="1" customWidth="1"/>
    <col min="13275" max="13275" width="9.28515625" style="1" customWidth="1"/>
    <col min="13276" max="13276" width="13.85546875" style="1" customWidth="1"/>
    <col min="13277" max="13277" width="10.42578125" style="1" customWidth="1"/>
    <col min="13278" max="13278" width="16.7109375" style="1" customWidth="1"/>
    <col min="13279" max="13279" width="16.28515625" style="1" customWidth="1"/>
    <col min="13280" max="13280" width="14.42578125" style="1" customWidth="1"/>
    <col min="13281" max="13281" width="14.85546875" style="1" customWidth="1"/>
    <col min="13282" max="13282" width="13" style="1" customWidth="1"/>
    <col min="13283" max="13283" width="18.7109375" style="1" customWidth="1"/>
    <col min="13284" max="13284" width="6" style="1" customWidth="1"/>
    <col min="13285" max="13285" width="15.28515625" style="1" customWidth="1"/>
    <col min="13286" max="13286" width="28" style="1" customWidth="1"/>
    <col min="13287" max="13287" width="13.5703125" style="1" customWidth="1"/>
    <col min="13288" max="13288" width="15.5703125" style="1" customWidth="1"/>
    <col min="13289" max="13289" width="8.85546875" style="1" customWidth="1"/>
    <col min="13290" max="13290" width="15.28515625" style="1" customWidth="1"/>
    <col min="13291" max="13291" width="15.7109375" style="1" customWidth="1"/>
    <col min="13292" max="13294" width="17.140625" style="1" customWidth="1"/>
    <col min="13295" max="13295" width="35.7109375" style="1" customWidth="1"/>
    <col min="13296" max="13296" width="28.5703125" style="1" customWidth="1"/>
    <col min="13297" max="13297" width="17.140625" style="1" customWidth="1"/>
    <col min="13298" max="13298" width="28.5703125" style="1" customWidth="1"/>
    <col min="13299" max="13527" width="9.140625" style="1"/>
    <col min="13528" max="13528" width="11.42578125" style="1" customWidth="1"/>
    <col min="13529" max="13529" width="25.140625" style="1" customWidth="1"/>
    <col min="13530" max="13530" width="42.7109375" style="1" customWidth="1"/>
    <col min="13531" max="13531" width="9.28515625" style="1" customWidth="1"/>
    <col min="13532" max="13532" width="13.85546875" style="1" customWidth="1"/>
    <col min="13533" max="13533" width="10.42578125" style="1" customWidth="1"/>
    <col min="13534" max="13534" width="16.7109375" style="1" customWidth="1"/>
    <col min="13535" max="13535" width="16.28515625" style="1" customWidth="1"/>
    <col min="13536" max="13536" width="14.42578125" style="1" customWidth="1"/>
    <col min="13537" max="13537" width="14.85546875" style="1" customWidth="1"/>
    <col min="13538" max="13538" width="13" style="1" customWidth="1"/>
    <col min="13539" max="13539" width="18.7109375" style="1" customWidth="1"/>
    <col min="13540" max="13540" width="6" style="1" customWidth="1"/>
    <col min="13541" max="13541" width="15.28515625" style="1" customWidth="1"/>
    <col min="13542" max="13542" width="28" style="1" customWidth="1"/>
    <col min="13543" max="13543" width="13.5703125" style="1" customWidth="1"/>
    <col min="13544" max="13544" width="15.5703125" style="1" customWidth="1"/>
    <col min="13545" max="13545" width="8.85546875" style="1" customWidth="1"/>
    <col min="13546" max="13546" width="15.28515625" style="1" customWidth="1"/>
    <col min="13547" max="13547" width="15.7109375" style="1" customWidth="1"/>
    <col min="13548" max="13550" width="17.140625" style="1" customWidth="1"/>
    <col min="13551" max="13551" width="35.7109375" style="1" customWidth="1"/>
    <col min="13552" max="13552" width="28.5703125" style="1" customWidth="1"/>
    <col min="13553" max="13553" width="17.140625" style="1" customWidth="1"/>
    <col min="13554" max="13554" width="28.5703125" style="1" customWidth="1"/>
    <col min="13555" max="13783" width="9.140625" style="1"/>
    <col min="13784" max="13784" width="11.42578125" style="1" customWidth="1"/>
    <col min="13785" max="13785" width="25.140625" style="1" customWidth="1"/>
    <col min="13786" max="13786" width="42.7109375" style="1" customWidth="1"/>
    <col min="13787" max="13787" width="9.28515625" style="1" customWidth="1"/>
    <col min="13788" max="13788" width="13.85546875" style="1" customWidth="1"/>
    <col min="13789" max="13789" width="10.42578125" style="1" customWidth="1"/>
    <col min="13790" max="13790" width="16.7109375" style="1" customWidth="1"/>
    <col min="13791" max="13791" width="16.28515625" style="1" customWidth="1"/>
    <col min="13792" max="13792" width="14.42578125" style="1" customWidth="1"/>
    <col min="13793" max="13793" width="14.85546875" style="1" customWidth="1"/>
    <col min="13794" max="13794" width="13" style="1" customWidth="1"/>
    <col min="13795" max="13795" width="18.7109375" style="1" customWidth="1"/>
    <col min="13796" max="13796" width="6" style="1" customWidth="1"/>
    <col min="13797" max="13797" width="15.28515625" style="1" customWidth="1"/>
    <col min="13798" max="13798" width="28" style="1" customWidth="1"/>
    <col min="13799" max="13799" width="13.5703125" style="1" customWidth="1"/>
    <col min="13800" max="13800" width="15.5703125" style="1" customWidth="1"/>
    <col min="13801" max="13801" width="8.85546875" style="1" customWidth="1"/>
    <col min="13802" max="13802" width="15.28515625" style="1" customWidth="1"/>
    <col min="13803" max="13803" width="15.7109375" style="1" customWidth="1"/>
    <col min="13804" max="13806" width="17.140625" style="1" customWidth="1"/>
    <col min="13807" max="13807" width="35.7109375" style="1" customWidth="1"/>
    <col min="13808" max="13808" width="28.5703125" style="1" customWidth="1"/>
    <col min="13809" max="13809" width="17.140625" style="1" customWidth="1"/>
    <col min="13810" max="13810" width="28.5703125" style="1" customWidth="1"/>
    <col min="13811" max="14039" width="9.140625" style="1"/>
    <col min="14040" max="14040" width="11.42578125" style="1" customWidth="1"/>
    <col min="14041" max="14041" width="25.140625" style="1" customWidth="1"/>
    <col min="14042" max="14042" width="42.7109375" style="1" customWidth="1"/>
    <col min="14043" max="14043" width="9.28515625" style="1" customWidth="1"/>
    <col min="14044" max="14044" width="13.85546875" style="1" customWidth="1"/>
    <col min="14045" max="14045" width="10.42578125" style="1" customWidth="1"/>
    <col min="14046" max="14046" width="16.7109375" style="1" customWidth="1"/>
    <col min="14047" max="14047" width="16.28515625" style="1" customWidth="1"/>
    <col min="14048" max="14048" width="14.42578125" style="1" customWidth="1"/>
    <col min="14049" max="14049" width="14.85546875" style="1" customWidth="1"/>
    <col min="14050" max="14050" width="13" style="1" customWidth="1"/>
    <col min="14051" max="14051" width="18.7109375" style="1" customWidth="1"/>
    <col min="14052" max="14052" width="6" style="1" customWidth="1"/>
    <col min="14053" max="14053" width="15.28515625" style="1" customWidth="1"/>
    <col min="14054" max="14054" width="28" style="1" customWidth="1"/>
    <col min="14055" max="14055" width="13.5703125" style="1" customWidth="1"/>
    <col min="14056" max="14056" width="15.5703125" style="1" customWidth="1"/>
    <col min="14057" max="14057" width="8.85546875" style="1" customWidth="1"/>
    <col min="14058" max="14058" width="15.28515625" style="1" customWidth="1"/>
    <col min="14059" max="14059" width="15.7109375" style="1" customWidth="1"/>
    <col min="14060" max="14062" width="17.140625" style="1" customWidth="1"/>
    <col min="14063" max="14063" width="35.7109375" style="1" customWidth="1"/>
    <col min="14064" max="14064" width="28.5703125" style="1" customWidth="1"/>
    <col min="14065" max="14065" width="17.140625" style="1" customWidth="1"/>
    <col min="14066" max="14066" width="28.5703125" style="1" customWidth="1"/>
    <col min="14067" max="14295" width="9.140625" style="1"/>
    <col min="14296" max="14296" width="11.42578125" style="1" customWidth="1"/>
    <col min="14297" max="14297" width="25.140625" style="1" customWidth="1"/>
    <col min="14298" max="14298" width="42.7109375" style="1" customWidth="1"/>
    <col min="14299" max="14299" width="9.28515625" style="1" customWidth="1"/>
    <col min="14300" max="14300" width="13.85546875" style="1" customWidth="1"/>
    <col min="14301" max="14301" width="10.42578125" style="1" customWidth="1"/>
    <col min="14302" max="14302" width="16.7109375" style="1" customWidth="1"/>
    <col min="14303" max="14303" width="16.28515625" style="1" customWidth="1"/>
    <col min="14304" max="14304" width="14.42578125" style="1" customWidth="1"/>
    <col min="14305" max="14305" width="14.85546875" style="1" customWidth="1"/>
    <col min="14306" max="14306" width="13" style="1" customWidth="1"/>
    <col min="14307" max="14307" width="18.7109375" style="1" customWidth="1"/>
    <col min="14308" max="14308" width="6" style="1" customWidth="1"/>
    <col min="14309" max="14309" width="15.28515625" style="1" customWidth="1"/>
    <col min="14310" max="14310" width="28" style="1" customWidth="1"/>
    <col min="14311" max="14311" width="13.5703125" style="1" customWidth="1"/>
    <col min="14312" max="14312" width="15.5703125" style="1" customWidth="1"/>
    <col min="14313" max="14313" width="8.85546875" style="1" customWidth="1"/>
    <col min="14314" max="14314" width="15.28515625" style="1" customWidth="1"/>
    <col min="14315" max="14315" width="15.7109375" style="1" customWidth="1"/>
    <col min="14316" max="14318" width="17.140625" style="1" customWidth="1"/>
    <col min="14319" max="14319" width="35.7109375" style="1" customWidth="1"/>
    <col min="14320" max="14320" width="28.5703125" style="1" customWidth="1"/>
    <col min="14321" max="14321" width="17.140625" style="1" customWidth="1"/>
    <col min="14322" max="14322" width="28.5703125" style="1" customWidth="1"/>
    <col min="14323" max="14551" width="9.140625" style="1"/>
    <col min="14552" max="14552" width="11.42578125" style="1" customWidth="1"/>
    <col min="14553" max="14553" width="25.140625" style="1" customWidth="1"/>
    <col min="14554" max="14554" width="42.7109375" style="1" customWidth="1"/>
    <col min="14555" max="14555" width="9.28515625" style="1" customWidth="1"/>
    <col min="14556" max="14556" width="13.85546875" style="1" customWidth="1"/>
    <col min="14557" max="14557" width="10.42578125" style="1" customWidth="1"/>
    <col min="14558" max="14558" width="16.7109375" style="1" customWidth="1"/>
    <col min="14559" max="14559" width="16.28515625" style="1" customWidth="1"/>
    <col min="14560" max="14560" width="14.42578125" style="1" customWidth="1"/>
    <col min="14561" max="14561" width="14.85546875" style="1" customWidth="1"/>
    <col min="14562" max="14562" width="13" style="1" customWidth="1"/>
    <col min="14563" max="14563" width="18.7109375" style="1" customWidth="1"/>
    <col min="14564" max="14564" width="6" style="1" customWidth="1"/>
    <col min="14565" max="14565" width="15.28515625" style="1" customWidth="1"/>
    <col min="14566" max="14566" width="28" style="1" customWidth="1"/>
    <col min="14567" max="14567" width="13.5703125" style="1" customWidth="1"/>
    <col min="14568" max="14568" width="15.5703125" style="1" customWidth="1"/>
    <col min="14569" max="14569" width="8.85546875" style="1" customWidth="1"/>
    <col min="14570" max="14570" width="15.28515625" style="1" customWidth="1"/>
    <col min="14571" max="14571" width="15.7109375" style="1" customWidth="1"/>
    <col min="14572" max="14574" width="17.140625" style="1" customWidth="1"/>
    <col min="14575" max="14575" width="35.7109375" style="1" customWidth="1"/>
    <col min="14576" max="14576" width="28.5703125" style="1" customWidth="1"/>
    <col min="14577" max="14577" width="17.140625" style="1" customWidth="1"/>
    <col min="14578" max="14578" width="28.5703125" style="1" customWidth="1"/>
    <col min="14579" max="14807" width="9.140625" style="1"/>
    <col min="14808" max="14808" width="11.42578125" style="1" customWidth="1"/>
    <col min="14809" max="14809" width="25.140625" style="1" customWidth="1"/>
    <col min="14810" max="14810" width="42.7109375" style="1" customWidth="1"/>
    <col min="14811" max="14811" width="9.28515625" style="1" customWidth="1"/>
    <col min="14812" max="14812" width="13.85546875" style="1" customWidth="1"/>
    <col min="14813" max="14813" width="10.42578125" style="1" customWidth="1"/>
    <col min="14814" max="14814" width="16.7109375" style="1" customWidth="1"/>
    <col min="14815" max="14815" width="16.28515625" style="1" customWidth="1"/>
    <col min="14816" max="14816" width="14.42578125" style="1" customWidth="1"/>
    <col min="14817" max="14817" width="14.85546875" style="1" customWidth="1"/>
    <col min="14818" max="14818" width="13" style="1" customWidth="1"/>
    <col min="14819" max="14819" width="18.7109375" style="1" customWidth="1"/>
    <col min="14820" max="14820" width="6" style="1" customWidth="1"/>
    <col min="14821" max="14821" width="15.28515625" style="1" customWidth="1"/>
    <col min="14822" max="14822" width="28" style="1" customWidth="1"/>
    <col min="14823" max="14823" width="13.5703125" style="1" customWidth="1"/>
    <col min="14824" max="14824" width="15.5703125" style="1" customWidth="1"/>
    <col min="14825" max="14825" width="8.85546875" style="1" customWidth="1"/>
    <col min="14826" max="14826" width="15.28515625" style="1" customWidth="1"/>
    <col min="14827" max="14827" width="15.7109375" style="1" customWidth="1"/>
    <col min="14828" max="14830" width="17.140625" style="1" customWidth="1"/>
    <col min="14831" max="14831" width="35.7109375" style="1" customWidth="1"/>
    <col min="14832" max="14832" width="28.5703125" style="1" customWidth="1"/>
    <col min="14833" max="14833" width="17.140625" style="1" customWidth="1"/>
    <col min="14834" max="14834" width="28.5703125" style="1" customWidth="1"/>
    <col min="14835" max="15063" width="9.140625" style="1"/>
    <col min="15064" max="15064" width="11.42578125" style="1" customWidth="1"/>
    <col min="15065" max="15065" width="25.140625" style="1" customWidth="1"/>
    <col min="15066" max="15066" width="42.7109375" style="1" customWidth="1"/>
    <col min="15067" max="15067" width="9.28515625" style="1" customWidth="1"/>
    <col min="15068" max="15068" width="13.85546875" style="1" customWidth="1"/>
    <col min="15069" max="15069" width="10.42578125" style="1" customWidth="1"/>
    <col min="15070" max="15070" width="16.7109375" style="1" customWidth="1"/>
    <col min="15071" max="15071" width="16.28515625" style="1" customWidth="1"/>
    <col min="15072" max="15072" width="14.42578125" style="1" customWidth="1"/>
    <col min="15073" max="15073" width="14.85546875" style="1" customWidth="1"/>
    <col min="15074" max="15074" width="13" style="1" customWidth="1"/>
    <col min="15075" max="15075" width="18.7109375" style="1" customWidth="1"/>
    <col min="15076" max="15076" width="6" style="1" customWidth="1"/>
    <col min="15077" max="15077" width="15.28515625" style="1" customWidth="1"/>
    <col min="15078" max="15078" width="28" style="1" customWidth="1"/>
    <col min="15079" max="15079" width="13.5703125" style="1" customWidth="1"/>
    <col min="15080" max="15080" width="15.5703125" style="1" customWidth="1"/>
    <col min="15081" max="15081" width="8.85546875" style="1" customWidth="1"/>
    <col min="15082" max="15082" width="15.28515625" style="1" customWidth="1"/>
    <col min="15083" max="15083" width="15.7109375" style="1" customWidth="1"/>
    <col min="15084" max="15086" width="17.140625" style="1" customWidth="1"/>
    <col min="15087" max="15087" width="35.7109375" style="1" customWidth="1"/>
    <col min="15088" max="15088" width="28.5703125" style="1" customWidth="1"/>
    <col min="15089" max="15089" width="17.140625" style="1" customWidth="1"/>
    <col min="15090" max="15090" width="28.5703125" style="1" customWidth="1"/>
    <col min="15091" max="15319" width="9.140625" style="1"/>
    <col min="15320" max="15320" width="11.42578125" style="1" customWidth="1"/>
    <col min="15321" max="15321" width="25.140625" style="1" customWidth="1"/>
    <col min="15322" max="15322" width="42.7109375" style="1" customWidth="1"/>
    <col min="15323" max="15323" width="9.28515625" style="1" customWidth="1"/>
    <col min="15324" max="15324" width="13.85546875" style="1" customWidth="1"/>
    <col min="15325" max="15325" width="10.42578125" style="1" customWidth="1"/>
    <col min="15326" max="15326" width="16.7109375" style="1" customWidth="1"/>
    <col min="15327" max="15327" width="16.28515625" style="1" customWidth="1"/>
    <col min="15328" max="15328" width="14.42578125" style="1" customWidth="1"/>
    <col min="15329" max="15329" width="14.85546875" style="1" customWidth="1"/>
    <col min="15330" max="15330" width="13" style="1" customWidth="1"/>
    <col min="15331" max="15331" width="18.7109375" style="1" customWidth="1"/>
    <col min="15332" max="15332" width="6" style="1" customWidth="1"/>
    <col min="15333" max="15333" width="15.28515625" style="1" customWidth="1"/>
    <col min="15334" max="15334" width="28" style="1" customWidth="1"/>
    <col min="15335" max="15335" width="13.5703125" style="1" customWidth="1"/>
    <col min="15336" max="15336" width="15.5703125" style="1" customWidth="1"/>
    <col min="15337" max="15337" width="8.85546875" style="1" customWidth="1"/>
    <col min="15338" max="15338" width="15.28515625" style="1" customWidth="1"/>
    <col min="15339" max="15339" width="15.7109375" style="1" customWidth="1"/>
    <col min="15340" max="15342" width="17.140625" style="1" customWidth="1"/>
    <col min="15343" max="15343" width="35.7109375" style="1" customWidth="1"/>
    <col min="15344" max="15344" width="28.5703125" style="1" customWidth="1"/>
    <col min="15345" max="15345" width="17.140625" style="1" customWidth="1"/>
    <col min="15346" max="15346" width="28.5703125" style="1" customWidth="1"/>
    <col min="15347" max="15575" width="9.140625" style="1"/>
    <col min="15576" max="15576" width="11.42578125" style="1" customWidth="1"/>
    <col min="15577" max="15577" width="25.140625" style="1" customWidth="1"/>
    <col min="15578" max="15578" width="42.7109375" style="1" customWidth="1"/>
    <col min="15579" max="15579" width="9.28515625" style="1" customWidth="1"/>
    <col min="15580" max="15580" width="13.85546875" style="1" customWidth="1"/>
    <col min="15581" max="15581" width="10.42578125" style="1" customWidth="1"/>
    <col min="15582" max="15582" width="16.7109375" style="1" customWidth="1"/>
    <col min="15583" max="15583" width="16.28515625" style="1" customWidth="1"/>
    <col min="15584" max="15584" width="14.42578125" style="1" customWidth="1"/>
    <col min="15585" max="15585" width="14.85546875" style="1" customWidth="1"/>
    <col min="15586" max="15586" width="13" style="1" customWidth="1"/>
    <col min="15587" max="15587" width="18.7109375" style="1" customWidth="1"/>
    <col min="15588" max="15588" width="6" style="1" customWidth="1"/>
    <col min="15589" max="15589" width="15.28515625" style="1" customWidth="1"/>
    <col min="15590" max="15590" width="28" style="1" customWidth="1"/>
    <col min="15591" max="15591" width="13.5703125" style="1" customWidth="1"/>
    <col min="15592" max="15592" width="15.5703125" style="1" customWidth="1"/>
    <col min="15593" max="15593" width="8.85546875" style="1" customWidth="1"/>
    <col min="15594" max="15594" width="15.28515625" style="1" customWidth="1"/>
    <col min="15595" max="15595" width="15.7109375" style="1" customWidth="1"/>
    <col min="15596" max="15598" width="17.140625" style="1" customWidth="1"/>
    <col min="15599" max="15599" width="35.7109375" style="1" customWidth="1"/>
    <col min="15600" max="15600" width="28.5703125" style="1" customWidth="1"/>
    <col min="15601" max="15601" width="17.140625" style="1" customWidth="1"/>
    <col min="15602" max="15602" width="28.5703125" style="1" customWidth="1"/>
    <col min="15603" max="15831" width="9.140625" style="1"/>
    <col min="15832" max="15832" width="11.42578125" style="1" customWidth="1"/>
    <col min="15833" max="15833" width="25.140625" style="1" customWidth="1"/>
    <col min="15834" max="15834" width="42.7109375" style="1" customWidth="1"/>
    <col min="15835" max="15835" width="9.28515625" style="1" customWidth="1"/>
    <col min="15836" max="15836" width="13.85546875" style="1" customWidth="1"/>
    <col min="15837" max="15837" width="10.42578125" style="1" customWidth="1"/>
    <col min="15838" max="15838" width="16.7109375" style="1" customWidth="1"/>
    <col min="15839" max="15839" width="16.28515625" style="1" customWidth="1"/>
    <col min="15840" max="15840" width="14.42578125" style="1" customWidth="1"/>
    <col min="15841" max="15841" width="14.85546875" style="1" customWidth="1"/>
    <col min="15842" max="15842" width="13" style="1" customWidth="1"/>
    <col min="15843" max="15843" width="18.7109375" style="1" customWidth="1"/>
    <col min="15844" max="15844" width="6" style="1" customWidth="1"/>
    <col min="15845" max="15845" width="15.28515625" style="1" customWidth="1"/>
    <col min="15846" max="15846" width="28" style="1" customWidth="1"/>
    <col min="15847" max="15847" width="13.5703125" style="1" customWidth="1"/>
    <col min="15848" max="15848" width="15.5703125" style="1" customWidth="1"/>
    <col min="15849" max="15849" width="8.85546875" style="1" customWidth="1"/>
    <col min="15850" max="15850" width="15.28515625" style="1" customWidth="1"/>
    <col min="15851" max="15851" width="15.7109375" style="1" customWidth="1"/>
    <col min="15852" max="15854" width="17.140625" style="1" customWidth="1"/>
    <col min="15855" max="15855" width="35.7109375" style="1" customWidth="1"/>
    <col min="15856" max="15856" width="28.5703125" style="1" customWidth="1"/>
    <col min="15857" max="15857" width="17.140625" style="1" customWidth="1"/>
    <col min="15858" max="15858" width="28.5703125" style="1" customWidth="1"/>
    <col min="15859" max="16087" width="9.140625" style="1"/>
    <col min="16088" max="16088" width="11.42578125" style="1" customWidth="1"/>
    <col min="16089" max="16089" width="25.140625" style="1" customWidth="1"/>
    <col min="16090" max="16090" width="42.7109375" style="1" customWidth="1"/>
    <col min="16091" max="16091" width="9.28515625" style="1" customWidth="1"/>
    <col min="16092" max="16092" width="13.85546875" style="1" customWidth="1"/>
    <col min="16093" max="16093" width="10.42578125" style="1" customWidth="1"/>
    <col min="16094" max="16094" width="16.7109375" style="1" customWidth="1"/>
    <col min="16095" max="16095" width="16.28515625" style="1" customWidth="1"/>
    <col min="16096" max="16096" width="14.42578125" style="1" customWidth="1"/>
    <col min="16097" max="16097" width="14.85546875" style="1" customWidth="1"/>
    <col min="16098" max="16098" width="13" style="1" customWidth="1"/>
    <col min="16099" max="16099" width="18.7109375" style="1" customWidth="1"/>
    <col min="16100" max="16100" width="6" style="1" customWidth="1"/>
    <col min="16101" max="16101" width="15.28515625" style="1" customWidth="1"/>
    <col min="16102" max="16102" width="28" style="1" customWidth="1"/>
    <col min="16103" max="16103" width="13.5703125" style="1" customWidth="1"/>
    <col min="16104" max="16104" width="15.5703125" style="1" customWidth="1"/>
    <col min="16105" max="16105" width="8.85546875" style="1" customWidth="1"/>
    <col min="16106" max="16106" width="15.28515625" style="1" customWidth="1"/>
    <col min="16107" max="16107" width="15.7109375" style="1" customWidth="1"/>
    <col min="16108" max="16110" width="17.140625" style="1" customWidth="1"/>
    <col min="16111" max="16111" width="35.7109375" style="1" customWidth="1"/>
    <col min="16112" max="16112" width="28.5703125" style="1" customWidth="1"/>
    <col min="16113" max="16113" width="17.140625" style="1" customWidth="1"/>
    <col min="16114" max="16114" width="28.5703125" style="1" customWidth="1"/>
    <col min="16115" max="16384" width="9.140625" style="1"/>
  </cols>
  <sheetData>
    <row r="1" spans="2:20" ht="15" thickBot="1" x14ac:dyDescent="0.3"/>
    <row r="2" spans="2:20" s="4" customFormat="1" ht="24.75" customHeight="1" thickBot="1" x14ac:dyDescent="0.25">
      <c r="B2" s="114" t="s">
        <v>22</v>
      </c>
      <c r="C2" s="115"/>
      <c r="D2" s="115"/>
      <c r="E2" s="115"/>
      <c r="F2" s="115"/>
      <c r="G2" s="115"/>
      <c r="H2" s="115"/>
      <c r="I2" s="115"/>
      <c r="J2" s="116"/>
      <c r="K2" s="23"/>
      <c r="L2" s="114" t="s">
        <v>23</v>
      </c>
      <c r="M2" s="115"/>
      <c r="N2" s="115"/>
      <c r="O2" s="115"/>
      <c r="P2" s="115"/>
      <c r="Q2" s="115"/>
      <c r="R2" s="115"/>
      <c r="S2" s="115"/>
      <c r="T2" s="116"/>
    </row>
    <row r="3" spans="2:20" s="4" customFormat="1" ht="8.25" customHeight="1" thickBot="1" x14ac:dyDescent="0.25">
      <c r="B3" s="24"/>
      <c r="C3" s="24"/>
      <c r="D3" s="24"/>
      <c r="E3" s="24"/>
      <c r="F3" s="24"/>
      <c r="G3" s="24"/>
      <c r="H3" s="24"/>
      <c r="I3" s="23"/>
      <c r="J3" s="23"/>
      <c r="K3" s="23"/>
      <c r="L3" s="24"/>
      <c r="M3" s="24"/>
      <c r="N3" s="24"/>
      <c r="O3" s="24"/>
      <c r="P3" s="24"/>
      <c r="Q3" s="24"/>
      <c r="R3" s="23"/>
      <c r="S3" s="23"/>
    </row>
    <row r="4" spans="2:20" s="5" customFormat="1" ht="18" thickBot="1" x14ac:dyDescent="0.25">
      <c r="B4" s="150" t="s">
        <v>8</v>
      </c>
      <c r="C4" s="151"/>
      <c r="D4" s="152"/>
      <c r="E4" s="153"/>
      <c r="F4" s="153"/>
      <c r="G4" s="153"/>
      <c r="H4" s="153"/>
      <c r="I4" s="153"/>
      <c r="J4" s="154"/>
      <c r="L4" s="126" t="s">
        <v>8</v>
      </c>
      <c r="M4" s="132"/>
      <c r="N4" s="135"/>
      <c r="O4" s="136"/>
      <c r="P4" s="136"/>
      <c r="Q4" s="136"/>
      <c r="R4" s="136"/>
      <c r="S4" s="136"/>
      <c r="T4" s="137"/>
    </row>
    <row r="5" spans="2:20" s="6" customFormat="1" ht="18" thickBot="1" x14ac:dyDescent="0.3">
      <c r="B5" s="155" t="s">
        <v>7</v>
      </c>
      <c r="C5" s="156"/>
      <c r="D5" s="157"/>
      <c r="E5" s="158"/>
      <c r="F5" s="158"/>
      <c r="G5" s="158"/>
      <c r="H5" s="158"/>
      <c r="I5" s="158"/>
      <c r="J5" s="159"/>
      <c r="L5" s="128" t="s">
        <v>7</v>
      </c>
      <c r="M5" s="133"/>
      <c r="N5" s="138"/>
      <c r="O5" s="139"/>
      <c r="P5" s="139"/>
      <c r="Q5" s="139"/>
      <c r="R5" s="139"/>
      <c r="S5" s="139"/>
      <c r="T5" s="140"/>
    </row>
    <row r="6" spans="2:20" s="6" customFormat="1" ht="18" thickBot="1" x14ac:dyDescent="0.3">
      <c r="B6" s="155" t="s">
        <v>9</v>
      </c>
      <c r="C6" s="156"/>
      <c r="D6" s="157"/>
      <c r="E6" s="158"/>
      <c r="F6" s="158"/>
      <c r="G6" s="158"/>
      <c r="H6" s="158"/>
      <c r="I6" s="158"/>
      <c r="J6" s="159"/>
      <c r="L6" s="128" t="s">
        <v>9</v>
      </c>
      <c r="M6" s="133"/>
      <c r="N6" s="138"/>
      <c r="O6" s="139"/>
      <c r="P6" s="139"/>
      <c r="Q6" s="139"/>
      <c r="R6" s="139"/>
      <c r="S6" s="139"/>
      <c r="T6" s="140"/>
    </row>
    <row r="7" spans="2:20" s="6" customFormat="1" ht="18" thickBot="1" x14ac:dyDescent="0.3">
      <c r="B7" s="160" t="s">
        <v>0</v>
      </c>
      <c r="C7" s="161"/>
      <c r="D7" s="162"/>
      <c r="E7" s="163"/>
      <c r="F7" s="163"/>
      <c r="G7" s="163"/>
      <c r="H7" s="163"/>
      <c r="I7" s="163"/>
      <c r="J7" s="164"/>
      <c r="L7" s="130" t="s">
        <v>0</v>
      </c>
      <c r="M7" s="134"/>
      <c r="N7" s="138"/>
      <c r="O7" s="139"/>
      <c r="P7" s="139"/>
      <c r="Q7" s="139"/>
      <c r="R7" s="139"/>
      <c r="S7" s="139"/>
      <c r="T7" s="140"/>
    </row>
    <row r="8" spans="2:20" ht="15" thickBot="1" x14ac:dyDescent="0.3">
      <c r="B8" s="3"/>
      <c r="G8" s="7"/>
      <c r="H8" s="7"/>
      <c r="L8" s="3"/>
      <c r="M8" s="3"/>
      <c r="O8" s="2"/>
      <c r="P8" s="57"/>
      <c r="Q8" s="57"/>
    </row>
    <row r="9" spans="2:20" s="8" customFormat="1" ht="42" customHeight="1" thickBot="1" x14ac:dyDescent="0.25">
      <c r="B9" s="19" t="s">
        <v>1</v>
      </c>
      <c r="C9" s="20" t="s">
        <v>2</v>
      </c>
      <c r="D9" s="20" t="s">
        <v>15</v>
      </c>
      <c r="E9" s="20" t="s">
        <v>3</v>
      </c>
      <c r="F9" s="20" t="s">
        <v>4</v>
      </c>
      <c r="G9" s="21" t="s">
        <v>5</v>
      </c>
      <c r="H9" s="21" t="s">
        <v>25</v>
      </c>
      <c r="I9" s="21" t="s">
        <v>16</v>
      </c>
      <c r="J9" s="22" t="s">
        <v>17</v>
      </c>
      <c r="L9" s="62" t="s">
        <v>18</v>
      </c>
      <c r="M9" s="63" t="s">
        <v>15</v>
      </c>
      <c r="N9" s="64" t="s">
        <v>19</v>
      </c>
      <c r="O9" s="65" t="s">
        <v>21</v>
      </c>
      <c r="P9" s="105" t="s">
        <v>39</v>
      </c>
      <c r="Q9" s="66" t="s">
        <v>5</v>
      </c>
      <c r="R9" s="67" t="s">
        <v>6</v>
      </c>
      <c r="S9" s="68" t="s">
        <v>16</v>
      </c>
      <c r="T9" s="69" t="s">
        <v>17</v>
      </c>
    </row>
    <row r="10" spans="2:20" s="8" customFormat="1" ht="15" customHeight="1" x14ac:dyDescent="0.2">
      <c r="B10" s="77">
        <v>46044</v>
      </c>
      <c r="C10" s="76" t="s">
        <v>36</v>
      </c>
      <c r="D10" s="72" t="str">
        <f>IFERROR(VLOOKUP(Tabella2913[[#This Row],[Codice Articolo]],#REF!,2,),IFERROR(VLOOKUP(Tabella2913[[#This Row],[Codice Articolo]],#REF!,2,),""))</f>
        <v/>
      </c>
      <c r="E10" s="72" t="str">
        <f>IFERROR(VLOOKUP(Tabella2913[[#This Row],[Codice Articolo]],#REF!,3,),IFERROR(VLOOKUP(Tabella2913[[#This Row],[Codice Articolo]],#REF!,3,),""))</f>
        <v/>
      </c>
      <c r="F10" s="72">
        <v>3</v>
      </c>
      <c r="G10" s="109" t="str">
        <f>IFERROR(VLOOKUP(Tabella2913[[#This Row],[Codice Articolo]],#REF!,4,),IFERROR(VLOOKUP(Tabella2913[[#This Row],[Codice Articolo]],#REF!,4,),""))</f>
        <v/>
      </c>
      <c r="H10" s="90" t="str">
        <f>IFERROR(Tabella2913[[#This Row],[Q.tà]]*Tabella2913[[#This Row],[Unitario]],"")</f>
        <v/>
      </c>
      <c r="I10" s="108">
        <v>0.9</v>
      </c>
      <c r="J10" s="88" t="str">
        <f>IFERROR(Tabella2913[[#This Row],[Costo Totale]]+(Tabella2913[[#This Row],[Costo Totale]]*Tabella2913[[#This Row],[Ricarico]]),"")</f>
        <v/>
      </c>
      <c r="L10" s="77">
        <v>46044</v>
      </c>
      <c r="M10" s="76" t="s">
        <v>41</v>
      </c>
      <c r="N10" s="101">
        <v>2</v>
      </c>
      <c r="O10" s="76">
        <v>10</v>
      </c>
      <c r="P10" s="76">
        <f>Tabella11417[[#This Row],[N. Persone]]*Tabella11417[[#This Row],[Q.tà (ORE)]]</f>
        <v>20</v>
      </c>
      <c r="Q10" s="102">
        <v>30</v>
      </c>
      <c r="R10" s="78">
        <f>Tabella11417[[#This Row],[ORE TOTALI]]*Tabella11417[[#This Row],[Unitario]]</f>
        <v>600</v>
      </c>
      <c r="S10" s="103">
        <v>0.5</v>
      </c>
      <c r="T10" s="104">
        <f>Tabella11417[[#This Row],[Totale]]+(Tabella11417[[#This Row],[Totale]]*Tabella11417[[#This Row],[Ricarico]])</f>
        <v>900</v>
      </c>
    </row>
    <row r="11" spans="2:20" s="8" customFormat="1" x14ac:dyDescent="0.2">
      <c r="B11" s="77">
        <v>46044</v>
      </c>
      <c r="C11" s="76" t="s">
        <v>38</v>
      </c>
      <c r="D11" s="72" t="str">
        <f>IFERROR(VLOOKUP(Tabella2913[[#This Row],[Codice Articolo]],#REF!,2,),IFERROR(VLOOKUP(Tabella2913[[#This Row],[Codice Articolo]],#REF!,2,),""))</f>
        <v/>
      </c>
      <c r="E11" s="72" t="str">
        <f>IFERROR(VLOOKUP(Tabella2913[[#This Row],[Codice Articolo]],#REF!,3,),IFERROR(VLOOKUP(Tabella2913[[#This Row],[Codice Articolo]],#REF!,3,),""))</f>
        <v/>
      </c>
      <c r="F11" s="72">
        <v>10</v>
      </c>
      <c r="G11" s="109" t="str">
        <f>IFERROR(VLOOKUP(Tabella2913[[#This Row],[Codice Articolo]],#REF!,4,),IFERROR(VLOOKUP(Tabella2913[[#This Row],[Codice Articolo]],#REF!,4,),""))</f>
        <v/>
      </c>
      <c r="H11" s="90" t="str">
        <f>IFERROR(Tabella2913[[#This Row],[Q.tà]]*Tabella2913[[#This Row],[Unitario]],"")</f>
        <v/>
      </c>
      <c r="I11" s="108">
        <v>0.9</v>
      </c>
      <c r="J11" s="88" t="str">
        <f>IFERROR(Tabella2913[[#This Row],[Costo Totale]]+(Tabella2913[[#This Row],[Costo Totale]]*Tabella2913[[#This Row],[Ricarico]]),"")</f>
        <v/>
      </c>
      <c r="L11" s="77"/>
      <c r="M11" s="76"/>
      <c r="N11" s="101"/>
      <c r="O11" s="76"/>
      <c r="P11" s="76">
        <f>Tabella11417[[#This Row],[N. Persone]]*Tabella11417[[#This Row],[Q.tà (ORE)]]</f>
        <v>0</v>
      </c>
      <c r="Q11" s="102">
        <v>30</v>
      </c>
      <c r="R11" s="78">
        <f>Tabella11417[[#This Row],[ORE TOTALI]]*Tabella11417[[#This Row],[Unitario]]</f>
        <v>0</v>
      </c>
      <c r="S11" s="103">
        <v>0.5</v>
      </c>
      <c r="T11" s="104">
        <f>Tabella11417[[#This Row],[Totale]]+(Tabella11417[[#This Row],[Totale]]*Tabella11417[[#This Row],[Ricarico]])</f>
        <v>0</v>
      </c>
    </row>
    <row r="12" spans="2:20" s="8" customFormat="1" ht="15" thickBot="1" x14ac:dyDescent="0.25">
      <c r="B12" s="77">
        <v>46044</v>
      </c>
      <c r="C12" s="107" t="s">
        <v>40</v>
      </c>
      <c r="D12" s="72" t="str">
        <f>IFERROR(VLOOKUP(Tabella2913[[#This Row],[Codice Articolo]],#REF!,2,),IFERROR(VLOOKUP(Tabella2913[[#This Row],[Codice Articolo]],#REF!,2,),""))</f>
        <v/>
      </c>
      <c r="E12" s="72" t="str">
        <f>IFERROR(VLOOKUP(Tabella2913[[#This Row],[Codice Articolo]],#REF!,3,),IFERROR(VLOOKUP(Tabella2913[[#This Row],[Codice Articolo]],#REF!,3,),""))</f>
        <v/>
      </c>
      <c r="F12" s="72">
        <v>1</v>
      </c>
      <c r="G12" s="109" t="str">
        <f>IFERROR(VLOOKUP(Tabella2913[[#This Row],[Codice Articolo]],#REF!,4,),IFERROR(VLOOKUP(Tabella2913[[#This Row],[Codice Articolo]],#REF!,4,),""))</f>
        <v/>
      </c>
      <c r="H12" s="90" t="str">
        <f>IFERROR(Tabella2913[[#This Row],[Q.tà]]*Tabella2913[[#This Row],[Unitario]],"")</f>
        <v/>
      </c>
      <c r="I12" s="108">
        <v>0.9</v>
      </c>
      <c r="J12" s="88" t="str">
        <f>IFERROR(Tabella2913[[#This Row],[Costo Totale]]+(Tabella2913[[#This Row],[Costo Totale]]*Tabella2913[[#This Row],[Ricarico]]),"")</f>
        <v/>
      </c>
      <c r="L12" s="79"/>
      <c r="M12" s="80"/>
      <c r="N12" s="80"/>
      <c r="O12" s="100"/>
      <c r="P12" s="76">
        <f>Tabella11417[[#This Row],[N. Persone]]*Tabella11417[[#This Row],[Q.tà (ORE)]]</f>
        <v>0</v>
      </c>
      <c r="Q12" s="102">
        <v>30</v>
      </c>
      <c r="R12" s="78">
        <f>Tabella11417[[#This Row],[ORE TOTALI]]*Tabella11417[[#This Row],[Unitario]]</f>
        <v>0</v>
      </c>
      <c r="S12" s="103">
        <v>0.5</v>
      </c>
      <c r="T12" s="104">
        <f>Tabella11417[[#This Row],[Totale]]+(Tabella11417[[#This Row],[Totale]]*Tabella11417[[#This Row],[Ricarico]])</f>
        <v>0</v>
      </c>
    </row>
    <row r="13" spans="2:20" s="8" customFormat="1" ht="15" thickBot="1" x14ac:dyDescent="0.25">
      <c r="B13" s="77">
        <v>46044</v>
      </c>
      <c r="C13" s="76">
        <v>999164</v>
      </c>
      <c r="D13" s="72" t="str">
        <f>IFERROR(VLOOKUP(Tabella2913[[#This Row],[Codice Articolo]],#REF!,2,),IFERROR(VLOOKUP(Tabella2913[[#This Row],[Codice Articolo]],#REF!,2,),""))</f>
        <v/>
      </c>
      <c r="E13" s="72" t="str">
        <f>IFERROR(VLOOKUP(Tabella2913[[#This Row],[Codice Articolo]],#REF!,3,),IFERROR(VLOOKUP(Tabella2913[[#This Row],[Codice Articolo]],#REF!,3,),""))</f>
        <v/>
      </c>
      <c r="F13" s="72">
        <v>4</v>
      </c>
      <c r="G13" s="109" t="str">
        <f>IFERROR(VLOOKUP(Tabella2913[[#This Row],[Codice Articolo]],#REF!,4,),IFERROR(VLOOKUP(Tabella2913[[#This Row],[Codice Articolo]],#REF!,4,),""))</f>
        <v/>
      </c>
      <c r="H13" s="90" t="str">
        <f>IFERROR(Tabella2913[[#This Row],[Q.tà]]*Tabella2913[[#This Row],[Unitario]],"")</f>
        <v/>
      </c>
      <c r="I13" s="108">
        <v>0.9</v>
      </c>
      <c r="J13" s="88" t="str">
        <f>IFERROR(Tabella2913[[#This Row],[Costo Totale]]+(Tabella2913[[#This Row],[Costo Totale]]*Tabella2913[[#This Row],[Ricarico]]),"")</f>
        <v/>
      </c>
      <c r="L13" s="81" t="s">
        <v>6</v>
      </c>
      <c r="M13" s="82"/>
      <c r="N13" s="83"/>
      <c r="O13" s="84"/>
      <c r="P13" s="84">
        <f>SUBTOTAL(109,Tabella11417[ORE TOTALI])</f>
        <v>20</v>
      </c>
      <c r="Q13" s="85"/>
      <c r="R13" s="86">
        <f>SUBTOTAL(109,Tabella11417[Totale])</f>
        <v>600</v>
      </c>
      <c r="S13" s="85"/>
      <c r="T13" s="86">
        <f>SUBTOTAL(109,Tabella11417[Vendita])</f>
        <v>900</v>
      </c>
    </row>
    <row r="14" spans="2:20" s="8" customFormat="1" x14ac:dyDescent="0.2">
      <c r="B14" s="77">
        <v>46044</v>
      </c>
      <c r="C14" s="76"/>
      <c r="D14" s="72" t="str">
        <f>IFERROR(VLOOKUP(Tabella2913[[#This Row],[Codice Articolo]],#REF!,2,),IFERROR(VLOOKUP(Tabella2913[[#This Row],[Codice Articolo]],#REF!,2,),""))</f>
        <v/>
      </c>
      <c r="E14" s="72" t="str">
        <f>IFERROR(VLOOKUP(Tabella2913[[#This Row],[Codice Articolo]],#REF!,3,),IFERROR(VLOOKUP(Tabella2913[[#This Row],[Codice Articolo]],#REF!,3,),""))</f>
        <v/>
      </c>
      <c r="F14" s="72"/>
      <c r="G14" s="109" t="str">
        <f>IFERROR(VLOOKUP(Tabella2913[[#This Row],[Codice Articolo]],#REF!,4,),IFERROR(VLOOKUP(Tabella2913[[#This Row],[Codice Articolo]],#REF!,4,),""))</f>
        <v/>
      </c>
      <c r="H14" s="90" t="str">
        <f>IFERROR(Tabella2913[[#This Row],[Q.tà]]*Tabella2913[[#This Row],[Unitario]],"")</f>
        <v/>
      </c>
      <c r="I14" s="108">
        <v>0.9</v>
      </c>
      <c r="J14" s="88" t="str">
        <f>IFERROR(Tabella2913[[#This Row],[Costo Totale]]+(Tabella2913[[#This Row],[Costo Totale]]*Tabella2913[[#This Row],[Ricarico]]),"")</f>
        <v/>
      </c>
    </row>
    <row r="15" spans="2:20" s="8" customFormat="1" ht="15" thickBot="1" x14ac:dyDescent="0.25">
      <c r="B15" s="77"/>
      <c r="C15" s="76"/>
      <c r="D15" s="72" t="str">
        <f>IFERROR(VLOOKUP(Tabella2[[#This Row],[Codice Articolo]],#REF!,2,),IFERROR(VLOOKUP(Tabella2[[#This Row],[Codice Articolo]],#REF!,2,),""))</f>
        <v/>
      </c>
      <c r="E15" s="72" t="str">
        <f>IFERROR(VLOOKUP(Tabella2[[#This Row],[Codice Articolo]],#REF!,3,),IFERROR(VLOOKUP(Tabella2[[#This Row],[Codice Articolo]],#REF!,3,),""))</f>
        <v/>
      </c>
      <c r="F15" s="72"/>
      <c r="G15" s="90" t="str">
        <f>IFERROR(VLOOKUP(Tabella2[[#This Row],[Codice Articolo]],#REF!,4,),IFERROR(VLOOKUP(Tabella2[[#This Row],[Codice Articolo]],#REF!,4,),""))</f>
        <v/>
      </c>
      <c r="H15" s="90" t="str">
        <f>IFERROR(Tabella2[[#This Row],[Q.tà]]*Tabella2[[#This Row],[Unitario]],"")</f>
        <v/>
      </c>
      <c r="I15" s="99"/>
      <c r="J15" s="88" t="str">
        <f>IFERROR(Tabella2[[#This Row],[Costo Totale]]+(Tabella2[[#This Row],[Costo Totale]]*Tabella2[[#This Row],[Ricarico]]),"")</f>
        <v/>
      </c>
    </row>
    <row r="16" spans="2:20" s="8" customFormat="1" ht="15" thickBot="1" x14ac:dyDescent="0.25">
      <c r="B16" s="27" t="s">
        <v>6</v>
      </c>
      <c r="C16" s="28"/>
      <c r="D16" s="29"/>
      <c r="E16" s="30"/>
      <c r="F16" s="30"/>
      <c r="G16" s="31"/>
      <c r="H16" s="18">
        <f>SUBTOTAL(109,Tabella2913[Costo Totale])</f>
        <v>0</v>
      </c>
      <c r="I16" s="45"/>
      <c r="J16" s="18">
        <f>SUBTOTAL(109,Tabella2913[Vendita])</f>
        <v>0</v>
      </c>
    </row>
    <row r="17" spans="2:10" s="8" customFormat="1" x14ac:dyDescent="0.25">
      <c r="B17" s="1"/>
      <c r="C17" s="1"/>
      <c r="D17" s="1"/>
      <c r="E17" s="1"/>
      <c r="F17" s="1"/>
      <c r="G17" s="1"/>
      <c r="H17" s="1"/>
      <c r="I17" s="1"/>
      <c r="J17" s="1"/>
    </row>
    <row r="18" spans="2:10" s="8" customFormat="1" x14ac:dyDescent="0.25">
      <c r="B18" s="1"/>
      <c r="C18" s="1"/>
      <c r="D18" s="1"/>
      <c r="E18" s="1"/>
      <c r="F18" s="1"/>
      <c r="G18" s="1"/>
      <c r="H18" s="1"/>
      <c r="I18" s="1"/>
      <c r="J18" s="1"/>
    </row>
    <row r="19" spans="2:10" s="8" customFormat="1" x14ac:dyDescent="0.25">
      <c r="B19" s="1"/>
      <c r="C19" s="1"/>
      <c r="D19" s="1"/>
      <c r="E19" s="1"/>
      <c r="F19" s="1"/>
      <c r="G19" s="1"/>
      <c r="H19" s="1"/>
      <c r="I19" s="1"/>
      <c r="J19" s="1"/>
    </row>
    <row r="20" spans="2:10" s="8" customFormat="1" x14ac:dyDescent="0.25">
      <c r="B20" s="1"/>
      <c r="C20" s="1"/>
      <c r="D20" s="1"/>
      <c r="E20" s="1"/>
      <c r="F20" s="1"/>
      <c r="G20" s="1"/>
      <c r="H20" s="1"/>
      <c r="I20" s="1"/>
      <c r="J20" s="1"/>
    </row>
    <row r="21" spans="2:10" s="8" customFormat="1" x14ac:dyDescent="0.25">
      <c r="B21" s="1"/>
      <c r="C21" s="1"/>
      <c r="D21" s="1"/>
      <c r="E21" s="1"/>
      <c r="F21" s="1"/>
      <c r="G21" s="1"/>
      <c r="H21" s="1"/>
      <c r="I21" s="1"/>
      <c r="J21" s="1"/>
    </row>
    <row r="22" spans="2:10" s="8" customFormat="1" x14ac:dyDescent="0.25">
      <c r="B22" s="1"/>
      <c r="C22" s="1"/>
      <c r="D22" s="1"/>
      <c r="E22" s="1"/>
      <c r="F22" s="1"/>
      <c r="G22" s="1"/>
      <c r="H22" s="1"/>
      <c r="I22" s="1"/>
      <c r="J22" s="1"/>
    </row>
    <row r="23" spans="2:10" s="8" customFormat="1" x14ac:dyDescent="0.25">
      <c r="B23" s="1"/>
      <c r="C23" s="1"/>
      <c r="D23" s="1"/>
      <c r="E23" s="1"/>
      <c r="F23" s="1"/>
      <c r="G23" s="1"/>
      <c r="H23" s="1"/>
      <c r="I23" s="1"/>
      <c r="J23" s="1"/>
    </row>
    <row r="24" spans="2:10" s="8" customFormat="1" x14ac:dyDescent="0.25">
      <c r="B24" s="1"/>
      <c r="C24" s="1"/>
      <c r="D24" s="1"/>
      <c r="E24" s="2"/>
      <c r="F24" s="3"/>
      <c r="G24" s="1"/>
      <c r="H24" s="1"/>
      <c r="I24" s="1"/>
      <c r="J24" s="1"/>
    </row>
    <row r="25" spans="2:10" s="8" customFormat="1" x14ac:dyDescent="0.25">
      <c r="B25" s="1"/>
      <c r="C25" s="1"/>
      <c r="D25" s="1"/>
      <c r="E25" s="2"/>
      <c r="F25" s="3"/>
      <c r="G25" s="1"/>
      <c r="H25" s="1"/>
      <c r="I25" s="1"/>
      <c r="J25" s="1"/>
    </row>
    <row r="26" spans="2:10" s="8" customFormat="1" x14ac:dyDescent="0.25">
      <c r="B26" s="1"/>
      <c r="C26" s="1"/>
      <c r="D26" s="1"/>
      <c r="E26" s="2"/>
      <c r="F26" s="3"/>
      <c r="G26" s="1"/>
      <c r="H26" s="1"/>
      <c r="I26" s="1"/>
      <c r="J26" s="1"/>
    </row>
    <row r="27" spans="2:10" s="8" customFormat="1" x14ac:dyDescent="0.25">
      <c r="B27" s="1"/>
      <c r="C27" s="1"/>
      <c r="D27" s="1"/>
      <c r="E27" s="2"/>
      <c r="F27" s="3"/>
      <c r="G27" s="1"/>
      <c r="H27" s="1"/>
      <c r="I27" s="1"/>
      <c r="J27" s="1"/>
    </row>
    <row r="28" spans="2:10" s="8" customFormat="1" x14ac:dyDescent="0.25">
      <c r="B28" s="1"/>
      <c r="C28" s="1"/>
      <c r="D28" s="1"/>
      <c r="E28" s="2"/>
      <c r="F28" s="3"/>
      <c r="G28" s="1"/>
      <c r="H28" s="1"/>
      <c r="I28" s="1"/>
      <c r="J28" s="1"/>
    </row>
    <row r="29" spans="2:10" s="8" customFormat="1" x14ac:dyDescent="0.25">
      <c r="B29" s="1"/>
      <c r="C29" s="1"/>
      <c r="D29" s="1"/>
      <c r="E29" s="2"/>
      <c r="F29" s="3"/>
      <c r="G29" s="1"/>
      <c r="H29" s="1"/>
      <c r="I29" s="1"/>
      <c r="J29" s="1"/>
    </row>
    <row r="30" spans="2:10" s="8" customFormat="1" x14ac:dyDescent="0.25">
      <c r="B30" s="1"/>
      <c r="C30" s="1"/>
      <c r="D30" s="1"/>
      <c r="E30" s="2"/>
      <c r="F30" s="3"/>
      <c r="G30" s="1"/>
      <c r="H30" s="1"/>
      <c r="I30" s="1"/>
      <c r="J30" s="1"/>
    </row>
    <row r="31" spans="2:10" s="8" customFormat="1" x14ac:dyDescent="0.25">
      <c r="B31" s="1"/>
      <c r="C31" s="1"/>
      <c r="D31" s="1"/>
      <c r="E31" s="2"/>
      <c r="F31" s="3"/>
      <c r="G31" s="1"/>
      <c r="H31" s="1"/>
      <c r="I31" s="1"/>
      <c r="J31" s="1"/>
    </row>
    <row r="32" spans="2:10" s="8" customFormat="1" x14ac:dyDescent="0.25">
      <c r="B32" s="1"/>
      <c r="C32" s="1"/>
      <c r="D32" s="1"/>
      <c r="E32" s="2"/>
      <c r="F32" s="3"/>
      <c r="G32" s="1"/>
      <c r="H32" s="1"/>
      <c r="I32" s="1"/>
      <c r="J32" s="1"/>
    </row>
    <row r="33" spans="2:10" s="8" customFormat="1" x14ac:dyDescent="0.25">
      <c r="B33" s="1"/>
      <c r="C33" s="1"/>
      <c r="D33" s="1"/>
      <c r="E33" s="2"/>
      <c r="F33" s="3"/>
      <c r="G33" s="1"/>
      <c r="H33" s="1"/>
      <c r="I33" s="1"/>
      <c r="J33" s="1"/>
    </row>
    <row r="34" spans="2:10" s="8" customFormat="1" x14ac:dyDescent="0.25">
      <c r="B34" s="1"/>
      <c r="C34" s="1"/>
      <c r="D34" s="1"/>
      <c r="E34" s="2"/>
      <c r="F34" s="3"/>
      <c r="G34" s="1"/>
      <c r="H34" s="1"/>
      <c r="I34" s="1"/>
      <c r="J34" s="1"/>
    </row>
    <row r="35" spans="2:10" s="8" customFormat="1" x14ac:dyDescent="0.25">
      <c r="B35" s="1"/>
      <c r="C35" s="1"/>
      <c r="D35" s="1"/>
      <c r="E35" s="2"/>
      <c r="F35" s="3"/>
      <c r="G35" s="1"/>
      <c r="H35" s="1"/>
      <c r="I35" s="1"/>
      <c r="J35" s="1"/>
    </row>
    <row r="36" spans="2:10" s="8" customFormat="1" x14ac:dyDescent="0.25">
      <c r="B36" s="1"/>
      <c r="C36" s="1"/>
      <c r="D36" s="1"/>
      <c r="E36" s="2"/>
      <c r="F36" s="3"/>
      <c r="G36" s="1"/>
      <c r="H36" s="1"/>
      <c r="I36" s="1"/>
      <c r="J36" s="1"/>
    </row>
    <row r="37" spans="2:10" s="8" customFormat="1" x14ac:dyDescent="0.25">
      <c r="B37" s="1"/>
      <c r="C37" s="1"/>
      <c r="D37" s="1"/>
      <c r="E37" s="2"/>
      <c r="F37" s="3"/>
      <c r="G37" s="1"/>
      <c r="H37" s="1"/>
      <c r="I37" s="1"/>
      <c r="J37" s="1"/>
    </row>
    <row r="38" spans="2:10" s="8" customFormat="1" x14ac:dyDescent="0.25">
      <c r="B38" s="1"/>
      <c r="C38" s="1"/>
      <c r="D38" s="1"/>
      <c r="E38" s="2"/>
      <c r="F38" s="3"/>
      <c r="G38" s="1"/>
      <c r="H38" s="1"/>
      <c r="I38" s="1"/>
      <c r="J38" s="1"/>
    </row>
    <row r="39" spans="2:10" s="8" customFormat="1" x14ac:dyDescent="0.25">
      <c r="B39" s="1"/>
      <c r="C39" s="1"/>
      <c r="D39" s="1"/>
      <c r="E39" s="2"/>
      <c r="F39" s="3"/>
      <c r="G39" s="1"/>
      <c r="H39" s="1"/>
      <c r="I39" s="1"/>
      <c r="J39" s="1"/>
    </row>
    <row r="40" spans="2:10" s="8" customFormat="1" x14ac:dyDescent="0.25">
      <c r="B40" s="1"/>
      <c r="C40" s="1"/>
      <c r="D40" s="1"/>
      <c r="E40" s="2"/>
      <c r="F40" s="3"/>
      <c r="G40" s="1"/>
      <c r="H40" s="1"/>
      <c r="I40" s="1"/>
      <c r="J40" s="1"/>
    </row>
    <row r="41" spans="2:10" s="8" customFormat="1" x14ac:dyDescent="0.25">
      <c r="B41" s="1"/>
      <c r="C41" s="1"/>
      <c r="D41" s="1"/>
      <c r="E41" s="2"/>
      <c r="F41" s="3"/>
      <c r="G41" s="1"/>
      <c r="H41" s="1"/>
      <c r="I41" s="1"/>
      <c r="J41" s="1"/>
    </row>
    <row r="42" spans="2:10" s="8" customFormat="1" x14ac:dyDescent="0.25">
      <c r="B42" s="1"/>
      <c r="C42" s="1"/>
      <c r="D42" s="1"/>
      <c r="E42" s="2"/>
      <c r="F42" s="3"/>
      <c r="G42" s="1"/>
      <c r="H42" s="1"/>
      <c r="I42" s="1"/>
      <c r="J42" s="1"/>
    </row>
    <row r="43" spans="2:10" s="8" customFormat="1" x14ac:dyDescent="0.25">
      <c r="B43" s="1"/>
      <c r="C43" s="1"/>
      <c r="D43" s="1"/>
      <c r="E43" s="2"/>
      <c r="F43" s="3"/>
      <c r="G43" s="1"/>
      <c r="H43" s="1"/>
      <c r="I43" s="1"/>
      <c r="J43" s="1"/>
    </row>
    <row r="44" spans="2:10" s="8" customFormat="1" x14ac:dyDescent="0.25">
      <c r="B44" s="1"/>
      <c r="C44" s="1"/>
      <c r="D44" s="1"/>
      <c r="E44" s="2"/>
      <c r="F44" s="3"/>
      <c r="G44" s="1"/>
      <c r="H44" s="1"/>
      <c r="I44" s="1"/>
      <c r="J44" s="1"/>
    </row>
    <row r="45" spans="2:10" s="8" customFormat="1" x14ac:dyDescent="0.25">
      <c r="B45" s="1"/>
      <c r="C45" s="1"/>
      <c r="D45" s="1"/>
      <c r="E45" s="2"/>
      <c r="F45" s="3"/>
      <c r="G45" s="1"/>
      <c r="H45" s="1"/>
      <c r="I45" s="1"/>
      <c r="J45" s="1"/>
    </row>
    <row r="46" spans="2:10" s="8" customFormat="1" x14ac:dyDescent="0.25">
      <c r="B46" s="1"/>
      <c r="C46" s="1"/>
      <c r="D46" s="1"/>
      <c r="E46" s="2"/>
      <c r="F46" s="3"/>
      <c r="G46" s="1"/>
      <c r="H46" s="1"/>
      <c r="I46" s="1"/>
      <c r="J46" s="1"/>
    </row>
    <row r="47" spans="2:10" s="8" customFormat="1" x14ac:dyDescent="0.25">
      <c r="B47" s="1"/>
      <c r="C47" s="1"/>
      <c r="D47" s="1"/>
      <c r="E47" s="2"/>
      <c r="F47" s="3"/>
      <c r="G47" s="1"/>
      <c r="H47" s="1"/>
      <c r="I47" s="1"/>
      <c r="J47" s="1"/>
    </row>
    <row r="48" spans="2:10" s="8" customFormat="1" x14ac:dyDescent="0.25">
      <c r="B48" s="1"/>
      <c r="C48" s="1"/>
      <c r="D48" s="1"/>
      <c r="E48" s="2"/>
      <c r="F48" s="3"/>
      <c r="G48" s="1"/>
      <c r="H48" s="1"/>
      <c r="I48" s="1"/>
      <c r="J48" s="1"/>
    </row>
    <row r="49" spans="2:10" s="8" customFormat="1" x14ac:dyDescent="0.25">
      <c r="B49" s="1"/>
      <c r="C49" s="1"/>
      <c r="D49" s="1"/>
      <c r="E49" s="2"/>
      <c r="F49" s="3"/>
      <c r="G49" s="1"/>
      <c r="H49" s="1"/>
      <c r="I49" s="1"/>
      <c r="J49" s="1"/>
    </row>
    <row r="50" spans="2:10" s="8" customFormat="1" x14ac:dyDescent="0.25">
      <c r="B50" s="1"/>
      <c r="C50" s="1"/>
      <c r="D50" s="1"/>
      <c r="E50" s="2"/>
      <c r="F50" s="3"/>
      <c r="G50" s="1"/>
      <c r="H50" s="1"/>
      <c r="I50" s="1"/>
      <c r="J50" s="1"/>
    </row>
    <row r="51" spans="2:10" s="8" customFormat="1" x14ac:dyDescent="0.25">
      <c r="B51" s="1"/>
      <c r="C51" s="1"/>
      <c r="D51" s="1"/>
      <c r="E51" s="2"/>
      <c r="F51" s="3"/>
      <c r="G51" s="1"/>
      <c r="H51" s="1"/>
      <c r="I51" s="1"/>
      <c r="J51" s="1"/>
    </row>
    <row r="52" spans="2:10" s="8" customFormat="1" x14ac:dyDescent="0.25">
      <c r="B52" s="1"/>
      <c r="C52" s="1"/>
      <c r="D52" s="1"/>
      <c r="E52" s="2"/>
      <c r="F52" s="3"/>
      <c r="G52" s="1"/>
      <c r="H52" s="1"/>
      <c r="I52" s="1"/>
      <c r="J52" s="1"/>
    </row>
    <row r="53" spans="2:10" s="8" customFormat="1" x14ac:dyDescent="0.25">
      <c r="B53" s="1"/>
      <c r="C53" s="1"/>
      <c r="D53" s="1"/>
      <c r="E53" s="2"/>
      <c r="F53" s="3"/>
      <c r="G53" s="1"/>
      <c r="H53" s="1"/>
      <c r="I53" s="1"/>
      <c r="J53" s="1"/>
    </row>
    <row r="54" spans="2:10" s="8" customFormat="1" x14ac:dyDescent="0.25">
      <c r="B54" s="1"/>
      <c r="C54" s="1"/>
      <c r="D54" s="1"/>
      <c r="E54" s="2"/>
      <c r="F54" s="3"/>
      <c r="G54" s="1"/>
      <c r="H54" s="1"/>
      <c r="I54" s="1"/>
      <c r="J54" s="1"/>
    </row>
    <row r="55" spans="2:10" s="8" customFormat="1" x14ac:dyDescent="0.25">
      <c r="B55" s="1"/>
      <c r="C55" s="1"/>
      <c r="D55" s="1"/>
      <c r="E55" s="2"/>
      <c r="F55" s="3"/>
      <c r="G55" s="1"/>
      <c r="H55" s="1"/>
      <c r="I55" s="1"/>
      <c r="J55" s="1"/>
    </row>
    <row r="56" spans="2:10" s="8" customFormat="1" x14ac:dyDescent="0.25">
      <c r="B56" s="1"/>
      <c r="C56" s="1"/>
      <c r="D56" s="1"/>
      <c r="E56" s="2"/>
      <c r="F56" s="3"/>
      <c r="G56" s="1"/>
      <c r="H56" s="1"/>
      <c r="I56" s="1"/>
      <c r="J56" s="1"/>
    </row>
    <row r="57" spans="2:10" s="8" customFormat="1" x14ac:dyDescent="0.25">
      <c r="B57" s="1"/>
      <c r="C57" s="1"/>
      <c r="D57" s="1"/>
      <c r="E57" s="2"/>
      <c r="F57" s="3"/>
      <c r="G57" s="1"/>
      <c r="H57" s="1"/>
      <c r="I57" s="1"/>
      <c r="J57" s="1"/>
    </row>
    <row r="58" spans="2:10" s="8" customFormat="1" x14ac:dyDescent="0.25">
      <c r="B58" s="1"/>
      <c r="C58" s="1"/>
      <c r="D58" s="1"/>
      <c r="E58" s="2"/>
      <c r="F58" s="3"/>
      <c r="G58" s="1"/>
      <c r="H58" s="1"/>
      <c r="I58" s="1"/>
      <c r="J58" s="1"/>
    </row>
    <row r="59" spans="2:10" s="8" customFormat="1" x14ac:dyDescent="0.25">
      <c r="B59" s="1"/>
      <c r="C59" s="1"/>
      <c r="D59" s="1"/>
      <c r="E59" s="2"/>
      <c r="F59" s="3"/>
      <c r="G59" s="1"/>
      <c r="H59" s="1"/>
      <c r="I59" s="1"/>
      <c r="J59" s="1"/>
    </row>
    <row r="60" spans="2:10" s="8" customFormat="1" x14ac:dyDescent="0.25">
      <c r="B60" s="1"/>
      <c r="C60" s="1"/>
      <c r="D60" s="1"/>
      <c r="E60" s="2"/>
      <c r="F60" s="3"/>
      <c r="G60" s="1"/>
      <c r="H60" s="1"/>
      <c r="I60" s="1"/>
      <c r="J60" s="1"/>
    </row>
    <row r="61" spans="2:10" s="8" customFormat="1" x14ac:dyDescent="0.25">
      <c r="B61" s="1"/>
      <c r="C61" s="1"/>
      <c r="D61" s="1"/>
      <c r="E61" s="2"/>
      <c r="F61" s="3"/>
      <c r="G61" s="1"/>
      <c r="H61" s="1"/>
      <c r="I61" s="1"/>
      <c r="J61" s="1"/>
    </row>
    <row r="62" spans="2:10" s="8" customFormat="1" x14ac:dyDescent="0.25">
      <c r="B62" s="1"/>
      <c r="C62" s="1"/>
      <c r="D62" s="1"/>
      <c r="E62" s="2"/>
      <c r="F62" s="3"/>
      <c r="G62" s="1"/>
      <c r="H62" s="1"/>
      <c r="I62" s="1"/>
      <c r="J62" s="1"/>
    </row>
    <row r="63" spans="2:10" s="8" customFormat="1" x14ac:dyDescent="0.25">
      <c r="B63" s="1"/>
      <c r="C63" s="1"/>
      <c r="D63" s="1"/>
      <c r="E63" s="2"/>
      <c r="F63" s="3"/>
      <c r="G63" s="1"/>
      <c r="H63" s="1"/>
      <c r="I63" s="1"/>
      <c r="J63" s="1"/>
    </row>
    <row r="64" spans="2:10" s="8" customFormat="1" x14ac:dyDescent="0.25">
      <c r="B64" s="1"/>
      <c r="C64" s="1"/>
      <c r="D64" s="1"/>
      <c r="E64" s="2"/>
      <c r="F64" s="3"/>
      <c r="G64" s="1"/>
      <c r="H64" s="1"/>
      <c r="I64" s="1"/>
      <c r="J64" s="1"/>
    </row>
    <row r="65" spans="2:10" s="8" customFormat="1" x14ac:dyDescent="0.25">
      <c r="B65" s="1"/>
      <c r="C65" s="1"/>
      <c r="D65" s="1"/>
      <c r="E65" s="2"/>
      <c r="F65" s="3"/>
      <c r="G65" s="1"/>
      <c r="H65" s="1"/>
      <c r="I65" s="1"/>
      <c r="J65" s="1"/>
    </row>
    <row r="66" spans="2:10" s="8" customFormat="1" x14ac:dyDescent="0.25">
      <c r="B66" s="1"/>
      <c r="C66" s="1"/>
      <c r="D66" s="1"/>
      <c r="E66" s="2"/>
      <c r="F66" s="3"/>
      <c r="G66" s="1"/>
      <c r="H66" s="1"/>
      <c r="I66" s="1"/>
      <c r="J66" s="1"/>
    </row>
    <row r="67" spans="2:10" s="8" customFormat="1" x14ac:dyDescent="0.25">
      <c r="B67" s="1"/>
      <c r="C67" s="1"/>
      <c r="D67" s="1"/>
      <c r="E67" s="2"/>
      <c r="F67" s="3"/>
      <c r="G67" s="1"/>
      <c r="H67" s="1"/>
      <c r="I67" s="1"/>
      <c r="J67" s="1"/>
    </row>
    <row r="68" spans="2:10" s="8" customFormat="1" x14ac:dyDescent="0.25">
      <c r="B68" s="1"/>
      <c r="C68" s="1"/>
      <c r="D68" s="1"/>
      <c r="E68" s="2"/>
      <c r="F68" s="3"/>
      <c r="G68" s="1"/>
      <c r="H68" s="1"/>
      <c r="I68" s="1"/>
      <c r="J68" s="1"/>
    </row>
    <row r="69" spans="2:10" s="8" customFormat="1" x14ac:dyDescent="0.25">
      <c r="B69" s="1"/>
      <c r="C69" s="1"/>
      <c r="D69" s="1"/>
      <c r="E69" s="2"/>
      <c r="F69" s="3"/>
      <c r="G69" s="1"/>
      <c r="H69" s="1"/>
      <c r="I69" s="1"/>
      <c r="J69" s="1"/>
    </row>
    <row r="70" spans="2:10" s="8" customFormat="1" x14ac:dyDescent="0.25">
      <c r="B70" s="1"/>
      <c r="C70" s="1"/>
      <c r="D70" s="1"/>
      <c r="E70" s="2"/>
      <c r="F70" s="3"/>
      <c r="G70" s="1"/>
      <c r="H70" s="1"/>
      <c r="I70" s="1"/>
      <c r="J70" s="1"/>
    </row>
    <row r="71" spans="2:10" s="8" customFormat="1" x14ac:dyDescent="0.25">
      <c r="B71" s="1"/>
      <c r="C71" s="1"/>
      <c r="D71" s="1"/>
      <c r="E71" s="2"/>
      <c r="F71" s="3"/>
      <c r="G71" s="1"/>
      <c r="H71" s="1"/>
      <c r="I71" s="1"/>
      <c r="J71" s="1"/>
    </row>
    <row r="72" spans="2:10" s="8" customFormat="1" x14ac:dyDescent="0.25">
      <c r="B72" s="1"/>
      <c r="C72" s="1"/>
      <c r="D72" s="1"/>
      <c r="E72" s="2"/>
      <c r="F72" s="3"/>
      <c r="G72" s="1"/>
      <c r="H72" s="1"/>
      <c r="I72" s="1"/>
      <c r="J72" s="1"/>
    </row>
    <row r="73" spans="2:10" s="8" customFormat="1" x14ac:dyDescent="0.25">
      <c r="B73" s="1"/>
      <c r="C73" s="1"/>
      <c r="D73" s="1"/>
      <c r="E73" s="2"/>
      <c r="F73" s="3"/>
      <c r="G73" s="1"/>
      <c r="H73" s="1"/>
      <c r="I73" s="1"/>
      <c r="J73" s="1"/>
    </row>
    <row r="74" spans="2:10" s="8" customFormat="1" x14ac:dyDescent="0.25">
      <c r="B74" s="1"/>
      <c r="C74" s="1"/>
      <c r="D74" s="1"/>
      <c r="E74" s="2"/>
      <c r="F74" s="3"/>
      <c r="G74" s="1"/>
      <c r="H74" s="1"/>
      <c r="I74" s="1"/>
      <c r="J74" s="1"/>
    </row>
    <row r="75" spans="2:10" s="8" customFormat="1" x14ac:dyDescent="0.25">
      <c r="B75" s="1"/>
      <c r="C75" s="1"/>
      <c r="D75" s="1"/>
      <c r="E75" s="2"/>
      <c r="F75" s="3"/>
      <c r="G75" s="1"/>
      <c r="H75" s="1"/>
      <c r="I75" s="1"/>
      <c r="J75" s="1"/>
    </row>
    <row r="76" spans="2:10" s="8" customFormat="1" x14ac:dyDescent="0.25">
      <c r="B76" s="1"/>
      <c r="C76" s="1"/>
      <c r="D76" s="1"/>
      <c r="E76" s="2"/>
      <c r="F76" s="3"/>
      <c r="G76" s="1"/>
      <c r="H76" s="1"/>
      <c r="I76" s="1"/>
      <c r="J76" s="1"/>
    </row>
    <row r="77" spans="2:10" s="8" customFormat="1" x14ac:dyDescent="0.25">
      <c r="B77" s="1"/>
      <c r="C77" s="1"/>
      <c r="D77" s="1"/>
      <c r="E77" s="2"/>
      <c r="F77" s="3"/>
      <c r="G77" s="1"/>
      <c r="H77" s="1"/>
      <c r="I77" s="1"/>
      <c r="J77" s="1"/>
    </row>
    <row r="78" spans="2:10" s="8" customFormat="1" x14ac:dyDescent="0.25">
      <c r="B78" s="1"/>
      <c r="C78" s="1"/>
      <c r="D78" s="1"/>
      <c r="E78" s="2"/>
      <c r="F78" s="3"/>
      <c r="G78" s="1"/>
      <c r="H78" s="1"/>
      <c r="I78" s="1"/>
      <c r="J78" s="1"/>
    </row>
    <row r="79" spans="2:10" s="8" customFormat="1" x14ac:dyDescent="0.25">
      <c r="B79" s="1"/>
      <c r="C79" s="1"/>
      <c r="D79" s="1"/>
      <c r="E79" s="2"/>
      <c r="F79" s="3"/>
      <c r="G79" s="1"/>
      <c r="H79" s="1"/>
      <c r="I79" s="1"/>
      <c r="J79" s="1"/>
    </row>
    <row r="80" spans="2:10" s="8" customFormat="1" x14ac:dyDescent="0.25">
      <c r="B80" s="1"/>
      <c r="C80" s="1"/>
      <c r="D80" s="1"/>
      <c r="E80" s="2"/>
      <c r="F80" s="3"/>
      <c r="G80" s="1"/>
      <c r="H80" s="1"/>
      <c r="I80" s="1"/>
      <c r="J80" s="1"/>
    </row>
    <row r="81" spans="2:10" s="8" customFormat="1" x14ac:dyDescent="0.25">
      <c r="B81" s="1"/>
      <c r="C81" s="1"/>
      <c r="D81" s="1"/>
      <c r="E81" s="2"/>
      <c r="F81" s="3"/>
      <c r="G81" s="1"/>
      <c r="H81" s="1"/>
      <c r="I81" s="1"/>
      <c r="J81" s="1"/>
    </row>
    <row r="82" spans="2:10" s="8" customFormat="1" x14ac:dyDescent="0.25">
      <c r="B82" s="1"/>
      <c r="C82" s="1"/>
      <c r="D82" s="1"/>
      <c r="E82" s="2"/>
      <c r="F82" s="3"/>
      <c r="G82" s="1"/>
      <c r="H82" s="1"/>
      <c r="I82" s="1"/>
      <c r="J82" s="1"/>
    </row>
    <row r="83" spans="2:10" s="8" customFormat="1" x14ac:dyDescent="0.25">
      <c r="B83" s="1"/>
      <c r="C83" s="1"/>
      <c r="D83" s="1"/>
      <c r="E83" s="2"/>
      <c r="F83" s="3"/>
      <c r="G83" s="1"/>
      <c r="H83" s="1"/>
      <c r="I83" s="1"/>
      <c r="J83" s="1"/>
    </row>
    <row r="84" spans="2:10" s="8" customFormat="1" x14ac:dyDescent="0.25">
      <c r="B84" s="1"/>
      <c r="C84" s="1"/>
      <c r="D84" s="1"/>
      <c r="E84" s="2"/>
      <c r="F84" s="3"/>
      <c r="G84" s="1"/>
      <c r="H84" s="1"/>
      <c r="I84" s="1"/>
      <c r="J84" s="1"/>
    </row>
    <row r="85" spans="2:10" s="8" customFormat="1" x14ac:dyDescent="0.25">
      <c r="B85" s="1"/>
      <c r="C85" s="1"/>
      <c r="D85" s="1"/>
      <c r="E85" s="2"/>
      <c r="F85" s="3"/>
      <c r="G85" s="1"/>
      <c r="H85" s="1"/>
      <c r="I85" s="1"/>
      <c r="J85" s="1"/>
    </row>
    <row r="86" spans="2:10" s="8" customFormat="1" x14ac:dyDescent="0.25">
      <c r="B86" s="1"/>
      <c r="C86" s="1"/>
      <c r="D86" s="1"/>
      <c r="E86" s="2"/>
      <c r="F86" s="3"/>
      <c r="G86" s="1"/>
      <c r="H86" s="1"/>
      <c r="I86" s="1"/>
      <c r="J86" s="1"/>
    </row>
    <row r="87" spans="2:10" s="8" customFormat="1" x14ac:dyDescent="0.25">
      <c r="B87" s="1"/>
      <c r="C87" s="1"/>
      <c r="D87" s="1"/>
      <c r="E87" s="2"/>
      <c r="F87" s="3"/>
      <c r="G87" s="1"/>
      <c r="H87" s="1"/>
      <c r="I87" s="1"/>
      <c r="J87" s="1"/>
    </row>
    <row r="88" spans="2:10" s="8" customFormat="1" x14ac:dyDescent="0.25">
      <c r="B88" s="1"/>
      <c r="C88" s="1"/>
      <c r="D88" s="1"/>
      <c r="E88" s="2"/>
      <c r="F88" s="3"/>
      <c r="G88" s="1"/>
      <c r="H88" s="1"/>
      <c r="I88" s="1"/>
      <c r="J88" s="1"/>
    </row>
    <row r="89" spans="2:10" s="8" customFormat="1" x14ac:dyDescent="0.25">
      <c r="B89" s="1"/>
      <c r="C89" s="1"/>
      <c r="D89" s="1"/>
      <c r="E89" s="2"/>
      <c r="F89" s="3"/>
      <c r="G89" s="1"/>
      <c r="H89" s="1"/>
      <c r="I89" s="1"/>
      <c r="J89" s="1"/>
    </row>
    <row r="90" spans="2:10" s="8" customFormat="1" x14ac:dyDescent="0.25">
      <c r="B90" s="1"/>
      <c r="C90" s="1"/>
      <c r="D90" s="1"/>
      <c r="E90" s="2"/>
      <c r="F90" s="3"/>
      <c r="G90" s="1"/>
      <c r="H90" s="1"/>
      <c r="I90" s="1"/>
      <c r="J90" s="1"/>
    </row>
    <row r="91" spans="2:10" s="8" customFormat="1" x14ac:dyDescent="0.25">
      <c r="B91" s="1"/>
      <c r="C91" s="1"/>
      <c r="D91" s="1"/>
      <c r="E91" s="2"/>
      <c r="F91" s="3"/>
      <c r="G91" s="1"/>
      <c r="H91" s="1"/>
      <c r="I91" s="1"/>
      <c r="J91" s="1"/>
    </row>
    <row r="92" spans="2:10" s="8" customFormat="1" x14ac:dyDescent="0.25">
      <c r="B92" s="1"/>
      <c r="C92" s="1"/>
      <c r="D92" s="1"/>
      <c r="E92" s="2"/>
      <c r="F92" s="3"/>
      <c r="G92" s="1"/>
      <c r="H92" s="1"/>
      <c r="I92" s="1"/>
      <c r="J92" s="1"/>
    </row>
    <row r="93" spans="2:10" s="8" customFormat="1" x14ac:dyDescent="0.25">
      <c r="B93" s="1"/>
      <c r="C93" s="1"/>
      <c r="D93" s="1"/>
      <c r="E93" s="2"/>
      <c r="F93" s="3"/>
      <c r="G93" s="1"/>
      <c r="H93" s="1"/>
      <c r="I93" s="1"/>
      <c r="J93" s="1"/>
    </row>
    <row r="94" spans="2:10" s="8" customFormat="1" x14ac:dyDescent="0.25">
      <c r="B94" s="1"/>
      <c r="C94" s="1"/>
      <c r="D94" s="1"/>
      <c r="E94" s="2"/>
      <c r="F94" s="3"/>
      <c r="G94" s="1"/>
      <c r="H94" s="1"/>
      <c r="I94" s="1"/>
      <c r="J94" s="1"/>
    </row>
    <row r="95" spans="2:10" s="8" customFormat="1" x14ac:dyDescent="0.25">
      <c r="B95" s="1"/>
      <c r="C95" s="1"/>
      <c r="D95" s="1"/>
      <c r="E95" s="2"/>
      <c r="F95" s="3"/>
      <c r="G95" s="1"/>
      <c r="H95" s="1"/>
      <c r="I95" s="1"/>
      <c r="J95" s="1"/>
    </row>
    <row r="96" spans="2:10" s="8" customFormat="1" x14ac:dyDescent="0.25">
      <c r="B96" s="1"/>
      <c r="C96" s="1"/>
      <c r="D96" s="1"/>
      <c r="E96" s="2"/>
      <c r="F96" s="3"/>
      <c r="G96" s="1"/>
      <c r="H96" s="1"/>
      <c r="I96" s="1"/>
      <c r="J96" s="1"/>
    </row>
    <row r="97" spans="2:10" s="8" customFormat="1" x14ac:dyDescent="0.25">
      <c r="B97" s="1"/>
      <c r="C97" s="1"/>
      <c r="D97" s="1"/>
      <c r="E97" s="2"/>
      <c r="F97" s="3"/>
      <c r="G97" s="1"/>
      <c r="H97" s="1"/>
      <c r="I97" s="1"/>
      <c r="J97" s="1"/>
    </row>
    <row r="98" spans="2:10" s="8" customFormat="1" x14ac:dyDescent="0.25">
      <c r="B98" s="1"/>
      <c r="C98" s="1"/>
      <c r="D98" s="1"/>
      <c r="E98" s="2"/>
      <c r="F98" s="3"/>
      <c r="G98" s="1"/>
      <c r="H98" s="1"/>
      <c r="I98" s="1"/>
      <c r="J98" s="1"/>
    </row>
    <row r="99" spans="2:10" s="8" customFormat="1" x14ac:dyDescent="0.25">
      <c r="B99" s="1"/>
      <c r="C99" s="1"/>
      <c r="D99" s="1"/>
      <c r="E99" s="2"/>
      <c r="F99" s="3"/>
      <c r="G99" s="1"/>
      <c r="H99" s="1"/>
      <c r="I99" s="1"/>
      <c r="J99" s="1"/>
    </row>
    <row r="100" spans="2:10" s="8" customFormat="1" x14ac:dyDescent="0.25">
      <c r="B100" s="1"/>
      <c r="C100" s="1"/>
      <c r="D100" s="1"/>
      <c r="E100" s="2"/>
      <c r="F100" s="3"/>
      <c r="G100" s="1"/>
      <c r="H100" s="1"/>
      <c r="I100" s="1"/>
      <c r="J100" s="1"/>
    </row>
    <row r="101" spans="2:10" s="8" customFormat="1" x14ac:dyDescent="0.25">
      <c r="B101" s="1"/>
      <c r="C101" s="1"/>
      <c r="D101" s="1"/>
      <c r="E101" s="2"/>
      <c r="F101" s="3"/>
      <c r="G101" s="1"/>
      <c r="H101" s="1"/>
      <c r="I101" s="1"/>
      <c r="J101" s="1"/>
    </row>
    <row r="102" spans="2:10" s="8" customFormat="1" x14ac:dyDescent="0.25">
      <c r="B102" s="1"/>
      <c r="C102" s="1"/>
      <c r="D102" s="1"/>
      <c r="E102" s="2"/>
      <c r="F102" s="3"/>
      <c r="G102" s="1"/>
      <c r="H102" s="1"/>
      <c r="I102" s="1"/>
      <c r="J102" s="1"/>
    </row>
    <row r="103" spans="2:10" s="8" customFormat="1" x14ac:dyDescent="0.25">
      <c r="B103" s="1"/>
      <c r="C103" s="1"/>
      <c r="D103" s="1"/>
      <c r="E103" s="2"/>
      <c r="F103" s="3"/>
      <c r="G103" s="1"/>
      <c r="H103" s="1"/>
      <c r="I103" s="1"/>
      <c r="J103" s="1"/>
    </row>
    <row r="104" spans="2:10" s="8" customFormat="1" x14ac:dyDescent="0.25">
      <c r="B104" s="1"/>
      <c r="C104" s="1"/>
      <c r="D104" s="1"/>
      <c r="E104" s="2"/>
      <c r="F104" s="3"/>
      <c r="G104" s="1"/>
      <c r="H104" s="1"/>
      <c r="I104" s="1"/>
      <c r="J104" s="1"/>
    </row>
    <row r="105" spans="2:10" s="8" customFormat="1" x14ac:dyDescent="0.25">
      <c r="B105" s="1"/>
      <c r="C105" s="1"/>
      <c r="D105" s="1"/>
      <c r="E105" s="2"/>
      <c r="F105" s="3"/>
      <c r="G105" s="1"/>
      <c r="H105" s="1"/>
      <c r="I105" s="1"/>
      <c r="J105" s="1"/>
    </row>
    <row r="106" spans="2:10" s="8" customFormat="1" x14ac:dyDescent="0.25">
      <c r="B106" s="1"/>
      <c r="C106" s="1"/>
      <c r="D106" s="1"/>
      <c r="E106" s="2"/>
      <c r="F106" s="3"/>
      <c r="G106" s="1"/>
      <c r="H106" s="1"/>
      <c r="I106" s="1"/>
      <c r="J106" s="1"/>
    </row>
    <row r="107" spans="2:10" s="8" customFormat="1" x14ac:dyDescent="0.25">
      <c r="B107" s="1"/>
      <c r="C107" s="1"/>
      <c r="D107" s="1"/>
      <c r="E107" s="2"/>
      <c r="F107" s="3"/>
      <c r="G107" s="1"/>
      <c r="H107" s="1"/>
      <c r="I107" s="1"/>
      <c r="J107" s="1"/>
    </row>
    <row r="108" spans="2:10" s="8" customFormat="1" x14ac:dyDescent="0.25">
      <c r="B108" s="1"/>
      <c r="C108" s="1"/>
      <c r="D108" s="1"/>
      <c r="E108" s="2"/>
      <c r="F108" s="3"/>
      <c r="G108" s="1"/>
      <c r="H108" s="1"/>
      <c r="I108" s="1"/>
      <c r="J108" s="1"/>
    </row>
    <row r="109" spans="2:10" s="8" customFormat="1" x14ac:dyDescent="0.25">
      <c r="B109" s="1"/>
      <c r="C109" s="1"/>
      <c r="D109" s="1"/>
      <c r="E109" s="2"/>
      <c r="F109" s="3"/>
      <c r="G109" s="1"/>
      <c r="H109" s="1"/>
      <c r="I109" s="1"/>
      <c r="J109" s="1"/>
    </row>
    <row r="110" spans="2:10" s="8" customFormat="1" x14ac:dyDescent="0.25">
      <c r="B110" s="1"/>
      <c r="C110" s="1"/>
      <c r="D110" s="1"/>
      <c r="E110" s="2"/>
      <c r="F110" s="3"/>
      <c r="G110" s="1"/>
      <c r="H110" s="1"/>
      <c r="I110" s="1"/>
      <c r="J110" s="1"/>
    </row>
    <row r="111" spans="2:10" s="8" customFormat="1" x14ac:dyDescent="0.25">
      <c r="B111" s="1"/>
      <c r="C111" s="1"/>
      <c r="D111" s="1"/>
      <c r="E111" s="2"/>
      <c r="F111" s="3"/>
      <c r="G111" s="1"/>
      <c r="H111" s="1"/>
      <c r="I111" s="1"/>
      <c r="J111" s="1"/>
    </row>
    <row r="112" spans="2:10" s="8" customFormat="1" x14ac:dyDescent="0.25">
      <c r="B112" s="1"/>
      <c r="C112" s="1"/>
      <c r="D112" s="1"/>
      <c r="E112" s="2"/>
      <c r="F112" s="3"/>
      <c r="G112" s="1"/>
      <c r="H112" s="1"/>
      <c r="I112" s="1"/>
      <c r="J112" s="1"/>
    </row>
    <row r="113" spans="2:10" s="8" customFormat="1" x14ac:dyDescent="0.25">
      <c r="B113" s="1"/>
      <c r="C113" s="1"/>
      <c r="D113" s="1"/>
      <c r="E113" s="2"/>
      <c r="F113" s="3"/>
      <c r="G113" s="1"/>
      <c r="H113" s="1"/>
      <c r="I113" s="1"/>
      <c r="J113" s="1"/>
    </row>
    <row r="114" spans="2:10" s="8" customFormat="1" x14ac:dyDescent="0.25">
      <c r="B114" s="1"/>
      <c r="C114" s="1"/>
      <c r="D114" s="1"/>
      <c r="E114" s="2"/>
      <c r="F114" s="3"/>
      <c r="G114" s="1"/>
      <c r="H114" s="1"/>
      <c r="I114" s="1"/>
      <c r="J114" s="1"/>
    </row>
    <row r="115" spans="2:10" s="8" customFormat="1" x14ac:dyDescent="0.25">
      <c r="B115" s="1"/>
      <c r="C115" s="1"/>
      <c r="D115" s="1"/>
      <c r="E115" s="2"/>
      <c r="F115" s="3"/>
      <c r="G115" s="1"/>
      <c r="H115" s="1"/>
      <c r="I115" s="1"/>
      <c r="J115" s="1"/>
    </row>
    <row r="116" spans="2:10" s="8" customFormat="1" x14ac:dyDescent="0.25">
      <c r="B116" s="1"/>
      <c r="C116" s="1"/>
      <c r="D116" s="1"/>
      <c r="E116" s="2"/>
      <c r="F116" s="3"/>
      <c r="G116" s="1"/>
      <c r="H116" s="1"/>
      <c r="I116" s="1"/>
      <c r="J116" s="1"/>
    </row>
    <row r="117" spans="2:10" s="8" customFormat="1" x14ac:dyDescent="0.25">
      <c r="B117" s="1"/>
      <c r="C117" s="1"/>
      <c r="D117" s="1"/>
      <c r="E117" s="2"/>
      <c r="F117" s="3"/>
      <c r="G117" s="1"/>
      <c r="H117" s="1"/>
      <c r="I117" s="1"/>
      <c r="J117" s="1"/>
    </row>
    <row r="118" spans="2:10" s="8" customFormat="1" x14ac:dyDescent="0.25">
      <c r="B118" s="1"/>
      <c r="C118" s="1"/>
      <c r="D118" s="1"/>
      <c r="E118" s="2"/>
      <c r="F118" s="3"/>
      <c r="G118" s="1"/>
      <c r="H118" s="1"/>
      <c r="I118" s="1"/>
      <c r="J118" s="1"/>
    </row>
    <row r="119" spans="2:10" s="8" customFormat="1" x14ac:dyDescent="0.25">
      <c r="B119" s="1"/>
      <c r="C119" s="1"/>
      <c r="D119" s="1"/>
      <c r="E119" s="2"/>
      <c r="F119" s="3"/>
      <c r="G119" s="1"/>
      <c r="H119" s="1"/>
      <c r="I119" s="1"/>
      <c r="J119" s="1"/>
    </row>
    <row r="120" spans="2:10" s="8" customFormat="1" x14ac:dyDescent="0.25">
      <c r="B120" s="1"/>
      <c r="C120" s="1"/>
      <c r="D120" s="1"/>
      <c r="E120" s="2"/>
      <c r="F120" s="3"/>
      <c r="G120" s="1"/>
      <c r="H120" s="1"/>
      <c r="I120" s="1"/>
      <c r="J120" s="1"/>
    </row>
    <row r="121" spans="2:10" s="8" customFormat="1" x14ac:dyDescent="0.25">
      <c r="B121" s="1"/>
      <c r="C121" s="1"/>
      <c r="D121" s="1"/>
      <c r="E121" s="2"/>
      <c r="F121" s="3"/>
      <c r="G121" s="1"/>
      <c r="H121" s="1"/>
      <c r="I121" s="1"/>
      <c r="J121" s="1"/>
    </row>
    <row r="122" spans="2:10" s="8" customFormat="1" x14ac:dyDescent="0.25">
      <c r="B122" s="1"/>
      <c r="C122" s="1"/>
      <c r="D122" s="1"/>
      <c r="E122" s="2"/>
      <c r="F122" s="3"/>
      <c r="G122" s="1"/>
      <c r="H122" s="1"/>
      <c r="I122" s="1"/>
      <c r="J122" s="1"/>
    </row>
    <row r="123" spans="2:10" s="8" customFormat="1" x14ac:dyDescent="0.25">
      <c r="B123" s="1"/>
      <c r="C123" s="1"/>
      <c r="D123" s="1"/>
      <c r="E123" s="2"/>
      <c r="F123" s="3"/>
      <c r="G123" s="1"/>
      <c r="H123" s="1"/>
      <c r="I123" s="1"/>
      <c r="J123" s="1"/>
    </row>
    <row r="124" spans="2:10" s="8" customFormat="1" x14ac:dyDescent="0.25">
      <c r="B124" s="1"/>
      <c r="C124" s="1"/>
      <c r="D124" s="1"/>
      <c r="E124" s="2"/>
      <c r="F124" s="3"/>
      <c r="G124" s="1"/>
      <c r="H124" s="1"/>
      <c r="I124" s="1"/>
      <c r="J124" s="1"/>
    </row>
    <row r="125" spans="2:10" s="8" customFormat="1" x14ac:dyDescent="0.25">
      <c r="B125" s="1"/>
      <c r="C125" s="1"/>
      <c r="D125" s="1"/>
      <c r="E125" s="2"/>
      <c r="F125" s="3"/>
      <c r="G125" s="1"/>
      <c r="H125" s="1"/>
      <c r="I125" s="1"/>
      <c r="J125" s="1"/>
    </row>
    <row r="126" spans="2:10" s="8" customFormat="1" x14ac:dyDescent="0.25">
      <c r="B126" s="1"/>
      <c r="C126" s="1"/>
      <c r="D126" s="1"/>
      <c r="E126" s="2"/>
      <c r="F126" s="3"/>
      <c r="G126" s="1"/>
      <c r="H126" s="1"/>
      <c r="I126" s="1"/>
      <c r="J126" s="1"/>
    </row>
    <row r="127" spans="2:10" s="8" customFormat="1" x14ac:dyDescent="0.25">
      <c r="B127" s="1"/>
      <c r="C127" s="1"/>
      <c r="D127" s="1"/>
      <c r="E127" s="2"/>
      <c r="F127" s="3"/>
      <c r="G127" s="1"/>
      <c r="H127" s="1"/>
      <c r="I127" s="1"/>
      <c r="J127" s="1"/>
    </row>
    <row r="128" spans="2:10" s="8" customFormat="1" x14ac:dyDescent="0.25">
      <c r="B128" s="1"/>
      <c r="C128" s="1"/>
      <c r="D128" s="1"/>
      <c r="E128" s="2"/>
      <c r="F128" s="3"/>
      <c r="G128" s="1"/>
      <c r="H128" s="1"/>
      <c r="I128" s="1"/>
      <c r="J128" s="1"/>
    </row>
    <row r="129" spans="2:19" s="8" customFormat="1" x14ac:dyDescent="0.25">
      <c r="B129" s="1"/>
      <c r="C129" s="1"/>
      <c r="D129" s="1"/>
      <c r="E129" s="2"/>
      <c r="F129" s="3"/>
      <c r="G129" s="1"/>
      <c r="H129" s="1"/>
      <c r="I129" s="1"/>
      <c r="J129" s="1"/>
    </row>
    <row r="130" spans="2:19" s="8" customFormat="1" x14ac:dyDescent="0.25">
      <c r="B130" s="1"/>
      <c r="C130" s="1"/>
      <c r="D130" s="1"/>
      <c r="E130" s="2"/>
      <c r="F130" s="3"/>
      <c r="G130" s="1"/>
      <c r="H130" s="1"/>
      <c r="I130" s="1"/>
      <c r="J130" s="1"/>
    </row>
    <row r="131" spans="2:19" s="8" customFormat="1" x14ac:dyDescent="0.25">
      <c r="B131" s="1"/>
      <c r="C131" s="1"/>
      <c r="D131" s="1"/>
      <c r="E131" s="2"/>
      <c r="F131" s="3"/>
      <c r="G131" s="1"/>
      <c r="H131" s="1"/>
      <c r="I131" s="1"/>
      <c r="J131" s="1"/>
    </row>
    <row r="132" spans="2:19" s="8" customFormat="1" x14ac:dyDescent="0.25">
      <c r="B132" s="1"/>
      <c r="C132" s="1"/>
      <c r="D132" s="1"/>
      <c r="E132" s="2"/>
      <c r="F132" s="3"/>
      <c r="G132" s="1"/>
      <c r="H132" s="1"/>
      <c r="I132" s="1"/>
      <c r="J132" s="1"/>
    </row>
    <row r="133" spans="2:19" s="8" customFormat="1" x14ac:dyDescent="0.25">
      <c r="B133" s="1"/>
      <c r="C133" s="1"/>
      <c r="D133" s="1"/>
      <c r="E133" s="2"/>
      <c r="F133" s="3"/>
      <c r="G133" s="1"/>
      <c r="H133" s="1"/>
      <c r="I133" s="1"/>
      <c r="J133" s="1"/>
    </row>
    <row r="134" spans="2:19" s="8" customFormat="1" x14ac:dyDescent="0.25">
      <c r="B134" s="1"/>
      <c r="C134" s="1"/>
      <c r="D134" s="1"/>
      <c r="E134" s="2"/>
      <c r="F134" s="3"/>
      <c r="G134" s="1"/>
      <c r="H134" s="1"/>
      <c r="I134" s="1"/>
      <c r="J134" s="1"/>
    </row>
    <row r="135" spans="2:19" s="8" customFormat="1" x14ac:dyDescent="0.25">
      <c r="B135" s="1"/>
      <c r="C135" s="1"/>
      <c r="D135" s="1"/>
      <c r="E135" s="2"/>
      <c r="F135" s="3"/>
      <c r="G135" s="1"/>
      <c r="H135" s="1"/>
      <c r="I135" s="1"/>
      <c r="J135" s="1"/>
    </row>
    <row r="136" spans="2:19" s="8" customFormat="1" x14ac:dyDescent="0.25">
      <c r="B136" s="1"/>
      <c r="C136" s="1"/>
      <c r="D136" s="1"/>
      <c r="E136" s="2"/>
      <c r="F136" s="3"/>
      <c r="G136" s="1"/>
      <c r="H136" s="1"/>
      <c r="I136" s="1"/>
      <c r="J136" s="1"/>
    </row>
    <row r="137" spans="2:19" s="8" customFormat="1" x14ac:dyDescent="0.25">
      <c r="B137" s="1"/>
      <c r="C137" s="1"/>
      <c r="D137" s="1"/>
      <c r="E137" s="2"/>
      <c r="F137" s="3"/>
      <c r="G137" s="1"/>
      <c r="H137" s="1"/>
      <c r="I137" s="1"/>
      <c r="J137" s="1"/>
    </row>
    <row r="138" spans="2:19" s="8" customFormat="1" x14ac:dyDescent="0.25">
      <c r="B138" s="1"/>
      <c r="C138" s="1"/>
      <c r="D138" s="1"/>
      <c r="E138" s="2"/>
      <c r="F138" s="3"/>
      <c r="G138" s="1"/>
      <c r="H138" s="1"/>
      <c r="I138" s="1"/>
      <c r="J138" s="1"/>
      <c r="R138" s="1"/>
      <c r="S138" s="1"/>
    </row>
    <row r="139" spans="2:19" s="8" customFormat="1" x14ac:dyDescent="0.25">
      <c r="B139" s="1"/>
      <c r="C139" s="1"/>
      <c r="D139" s="1"/>
      <c r="E139" s="2"/>
      <c r="F139" s="3"/>
      <c r="G139" s="1"/>
      <c r="H139" s="1"/>
      <c r="I139" s="1"/>
      <c r="J139" s="1"/>
      <c r="L139" s="1"/>
      <c r="M139" s="1"/>
      <c r="N139" s="1"/>
      <c r="O139" s="1"/>
      <c r="P139" s="1"/>
      <c r="Q139" s="1"/>
    </row>
    <row r="140" spans="2:19" s="8" customFormat="1" x14ac:dyDescent="0.25">
      <c r="B140" s="1"/>
      <c r="C140" s="1"/>
      <c r="D140" s="1"/>
      <c r="E140" s="2"/>
      <c r="F140" s="3"/>
      <c r="G140" s="1"/>
      <c r="H140" s="1"/>
      <c r="I140" s="1"/>
      <c r="J140" s="1"/>
      <c r="R140" s="1"/>
      <c r="S140" s="1"/>
    </row>
    <row r="141" spans="2:19" s="8" customFormat="1" x14ac:dyDescent="0.25">
      <c r="B141" s="1"/>
      <c r="C141" s="1"/>
      <c r="D141" s="1"/>
      <c r="E141" s="2"/>
      <c r="F141" s="3"/>
      <c r="G141" s="1"/>
      <c r="H141" s="1"/>
      <c r="I141" s="1"/>
      <c r="J141" s="1"/>
      <c r="L141" s="1"/>
      <c r="M141" s="1"/>
      <c r="N141" s="1"/>
      <c r="O141" s="1"/>
      <c r="P141" s="1"/>
      <c r="Q141" s="1"/>
      <c r="R141" s="1"/>
      <c r="S141" s="1"/>
    </row>
    <row r="142" spans="2:19" s="8" customFormat="1" x14ac:dyDescent="0.25">
      <c r="B142" s="1"/>
      <c r="C142" s="1"/>
      <c r="D142" s="1"/>
      <c r="E142" s="2"/>
      <c r="F142" s="3"/>
      <c r="G142" s="1"/>
      <c r="H142" s="1"/>
      <c r="I142" s="1"/>
      <c r="J142" s="1"/>
      <c r="L142" s="1"/>
      <c r="M142" s="1"/>
      <c r="N142" s="1"/>
      <c r="O142" s="1"/>
      <c r="P142" s="1"/>
      <c r="Q142" s="1"/>
      <c r="R142" s="1"/>
      <c r="S142" s="1"/>
    </row>
    <row r="143" spans="2:19" s="8" customFormat="1" x14ac:dyDescent="0.25">
      <c r="B143" s="1"/>
      <c r="C143" s="1"/>
      <c r="D143" s="1"/>
      <c r="E143" s="2"/>
      <c r="F143" s="3"/>
      <c r="G143" s="1"/>
      <c r="H143" s="1"/>
      <c r="I143" s="1"/>
      <c r="J143" s="1"/>
      <c r="L143" s="1"/>
      <c r="M143" s="1"/>
      <c r="N143" s="1"/>
      <c r="O143" s="1"/>
      <c r="P143" s="1"/>
      <c r="Q143" s="1"/>
      <c r="R143" s="1"/>
      <c r="S143" s="1"/>
    </row>
    <row r="144" spans="2:19" s="8" customFormat="1" x14ac:dyDescent="0.25">
      <c r="B144" s="1"/>
      <c r="C144" s="1"/>
      <c r="D144" s="1"/>
      <c r="E144" s="2"/>
      <c r="F144" s="3"/>
      <c r="G144" s="1"/>
      <c r="H144" s="1"/>
      <c r="I144" s="1"/>
      <c r="J144" s="1"/>
      <c r="L144" s="1"/>
      <c r="M144" s="1"/>
      <c r="N144" s="1"/>
      <c r="O144" s="1"/>
      <c r="P144" s="1"/>
      <c r="Q144" s="1"/>
      <c r="R144" s="1"/>
      <c r="S144" s="1"/>
    </row>
    <row r="145" spans="2:20" s="8" customFormat="1" x14ac:dyDescent="0.25">
      <c r="B145" s="1"/>
      <c r="C145" s="1"/>
      <c r="D145" s="1"/>
      <c r="E145" s="2"/>
      <c r="F145" s="3"/>
      <c r="G145" s="1"/>
      <c r="H145" s="1"/>
      <c r="I145" s="1"/>
      <c r="J145" s="1"/>
      <c r="L145" s="1"/>
      <c r="M145" s="1"/>
      <c r="N145" s="1"/>
      <c r="O145" s="1"/>
      <c r="P145" s="1"/>
      <c r="Q145" s="1"/>
      <c r="R145" s="1"/>
      <c r="S145" s="1"/>
    </row>
    <row r="146" spans="2:20" s="8" customFormat="1" x14ac:dyDescent="0.25">
      <c r="B146" s="1"/>
      <c r="C146" s="1"/>
      <c r="D146" s="1"/>
      <c r="E146" s="2"/>
      <c r="F146" s="3"/>
      <c r="G146" s="1"/>
      <c r="H146" s="1"/>
      <c r="I146" s="1"/>
      <c r="J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2:20" s="8" customFormat="1" x14ac:dyDescent="0.25">
      <c r="B147" s="1"/>
      <c r="C147" s="1"/>
      <c r="D147" s="1"/>
      <c r="E147" s="2"/>
      <c r="F147" s="3"/>
      <c r="G147" s="1"/>
      <c r="H147" s="1"/>
      <c r="I147" s="1"/>
      <c r="J147" s="1"/>
      <c r="L147" s="1"/>
      <c r="M147" s="1"/>
      <c r="N147" s="1"/>
      <c r="O147" s="1"/>
      <c r="P147" s="1"/>
      <c r="Q147" s="1"/>
      <c r="R147" s="1"/>
      <c r="S147" s="1"/>
    </row>
    <row r="148" spans="2:20" s="8" customFormat="1" x14ac:dyDescent="0.25">
      <c r="B148" s="1"/>
      <c r="C148" s="1"/>
      <c r="D148" s="1"/>
      <c r="E148" s="2"/>
      <c r="F148" s="3"/>
      <c r="G148" s="1"/>
      <c r="H148" s="1"/>
      <c r="I148" s="1"/>
      <c r="J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2:20" s="8" customFormat="1" x14ac:dyDescent="0.25">
      <c r="B149" s="1"/>
      <c r="C149" s="1"/>
      <c r="D149" s="1"/>
      <c r="E149" s="2"/>
      <c r="F149" s="3"/>
      <c r="G149" s="1"/>
      <c r="H149" s="1"/>
      <c r="I149" s="1"/>
      <c r="J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2:20" s="8" customFormat="1" x14ac:dyDescent="0.25">
      <c r="B150" s="1"/>
      <c r="C150" s="1"/>
      <c r="D150" s="1"/>
      <c r="E150" s="2"/>
      <c r="F150" s="3"/>
      <c r="G150" s="1"/>
      <c r="H150" s="1"/>
      <c r="I150" s="1"/>
      <c r="J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2:20" s="8" customFormat="1" x14ac:dyDescent="0.25">
      <c r="B151" s="1"/>
      <c r="C151" s="1"/>
      <c r="D151" s="1"/>
      <c r="E151" s="2"/>
      <c r="F151" s="3"/>
      <c r="G151" s="1"/>
      <c r="H151" s="1"/>
      <c r="I151" s="1"/>
      <c r="J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2:20" s="8" customFormat="1" x14ac:dyDescent="0.25">
      <c r="B152" s="1"/>
      <c r="C152" s="1"/>
      <c r="D152" s="1"/>
      <c r="E152" s="2"/>
      <c r="F152" s="3"/>
      <c r="G152" s="1"/>
      <c r="H152" s="1"/>
      <c r="I152" s="1"/>
      <c r="J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2:20" s="8" customFormat="1" x14ac:dyDescent="0.25">
      <c r="B153" s="1"/>
      <c r="C153" s="1"/>
      <c r="D153" s="1"/>
      <c r="E153" s="2"/>
      <c r="F153" s="3"/>
      <c r="G153" s="1"/>
      <c r="H153" s="1"/>
      <c r="I153" s="1"/>
      <c r="J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2:20" s="8" customFormat="1" x14ac:dyDescent="0.25">
      <c r="B154" s="1"/>
      <c r="C154" s="1"/>
      <c r="D154" s="1"/>
      <c r="E154" s="2"/>
      <c r="F154" s="3"/>
      <c r="G154" s="1"/>
      <c r="H154" s="1"/>
      <c r="I154" s="1"/>
      <c r="J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2:20" s="8" customFormat="1" x14ac:dyDescent="0.25">
      <c r="B155" s="1"/>
      <c r="C155" s="1"/>
      <c r="D155" s="1"/>
      <c r="E155" s="2"/>
      <c r="F155" s="3"/>
      <c r="G155" s="1"/>
      <c r="H155" s="1"/>
      <c r="I155" s="1"/>
      <c r="J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2:20" s="8" customFormat="1" x14ac:dyDescent="0.25">
      <c r="B156" s="1"/>
      <c r="C156" s="1"/>
      <c r="D156" s="1"/>
      <c r="E156" s="2"/>
      <c r="F156" s="3"/>
      <c r="G156" s="1"/>
      <c r="H156" s="1"/>
      <c r="I156" s="1"/>
      <c r="J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2:20" s="8" customFormat="1" x14ac:dyDescent="0.25">
      <c r="B157" s="1"/>
      <c r="C157" s="1"/>
      <c r="D157" s="1"/>
      <c r="E157" s="2"/>
      <c r="F157" s="3"/>
      <c r="G157" s="1"/>
      <c r="H157" s="1"/>
      <c r="I157" s="1"/>
      <c r="J157" s="1"/>
      <c r="L157" s="1"/>
      <c r="M157" s="1"/>
      <c r="N157" s="1"/>
      <c r="O157" s="1"/>
      <c r="P157" s="1"/>
      <c r="Q157" s="1"/>
      <c r="R157" s="1"/>
      <c r="S157" s="1"/>
      <c r="T157" s="1"/>
    </row>
    <row r="159" spans="2:20" s="8" customFormat="1" ht="21.75" customHeight="1" x14ac:dyDescent="0.25">
      <c r="B159" s="1"/>
      <c r="C159" s="1"/>
      <c r="D159" s="1"/>
      <c r="E159" s="2"/>
      <c r="F159" s="3"/>
      <c r="G159" s="1"/>
      <c r="H159" s="1"/>
      <c r="I159" s="1"/>
      <c r="J159" s="1"/>
      <c r="L159" s="1"/>
      <c r="M159" s="1"/>
      <c r="N159" s="1"/>
      <c r="O159" s="1"/>
      <c r="P159" s="1"/>
      <c r="Q159" s="1"/>
      <c r="R159" s="1"/>
      <c r="S159" s="1"/>
      <c r="T159" s="1"/>
    </row>
  </sheetData>
  <mergeCells count="18">
    <mergeCell ref="B2:J2"/>
    <mergeCell ref="L2:T2"/>
    <mergeCell ref="N4:T4"/>
    <mergeCell ref="N5:T5"/>
    <mergeCell ref="N6:T6"/>
    <mergeCell ref="N7:T7"/>
    <mergeCell ref="B4:C4"/>
    <mergeCell ref="D4:J4"/>
    <mergeCell ref="L4:M4"/>
    <mergeCell ref="L7:M7"/>
    <mergeCell ref="L5:M5"/>
    <mergeCell ref="B6:C6"/>
    <mergeCell ref="D6:J6"/>
    <mergeCell ref="L6:M6"/>
    <mergeCell ref="B5:C5"/>
    <mergeCell ref="D5:J5"/>
    <mergeCell ref="B7:C7"/>
    <mergeCell ref="D7:J7"/>
  </mergeCells>
  <pageMargins left="0.7" right="0.7" top="0.75" bottom="0.75" header="0.3" footer="0.3"/>
  <pageSetup paperSize="9" scale="80" fitToHeight="0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1A014C-DC91-4F84-AA60-A99D973D7865}">
          <x14:formula1>
            <xm:f>#REF!</xm:f>
          </x14:formula1>
          <xm:sqref>C10 C12:C15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3</vt:i4>
      </vt:variant>
    </vt:vector>
  </HeadingPairs>
  <TitlesOfParts>
    <vt:vector size="9" baseType="lpstr">
      <vt:lpstr>Riepilogo</vt:lpstr>
      <vt:lpstr>Lely</vt:lpstr>
      <vt:lpstr>Coclee</vt:lpstr>
      <vt:lpstr>Combiboard</vt:lpstr>
      <vt:lpstr>Liquami</vt:lpstr>
      <vt:lpstr>Extra</vt:lpstr>
      <vt:lpstr>Extra!Area_stampa</vt:lpstr>
      <vt:lpstr>Lely!Area_stampa</vt:lpstr>
      <vt:lpstr>Riepilogo!Area_stampa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Bressanutti Michele</dc:creator>
  <cp:lastModifiedBy>Michele Bressanutti</cp:lastModifiedBy>
  <cp:lastPrinted>2026-01-09T13:20:54Z</cp:lastPrinted>
  <dcterms:created xsi:type="dcterms:W3CDTF">2009-09-10T09:36:46Z</dcterms:created>
  <dcterms:modified xsi:type="dcterms:W3CDTF">2026-04-24T14:14:39Z</dcterms:modified>
</cp:coreProperties>
</file>